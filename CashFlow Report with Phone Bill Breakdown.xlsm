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ubmit.png" ContentType="image/.png"/>
  <Override PartName="/customUI/images/assignment.png" ContentType="image/.png"/>
  <Override PartName="/customUI/images/report.png" ContentType="image/.png"/>
  <Override PartName="/customUI/images/task.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7e3661c49774020"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E757BCB4-07E6-AE0B-56E0-F0EEF7A6E26C}"/>
  <workbookPr codeName="ThisWorkbook"/>
  <mc:AlternateContent xmlns:mc="http://schemas.openxmlformats.org/markup-compatibility/2006">
    <mc:Choice Requires="x15">
      <x15ac:absPath xmlns:x15ac="http://schemas.microsoft.com/office/spreadsheetml/2010/11/ac" url="https://d.docs.live.net/7b57ba3cf11250cd/WTclass/CIDM4390/lesson/Week 1/Task Technical Portfolio/"/>
    </mc:Choice>
  </mc:AlternateContent>
  <xr:revisionPtr revIDLastSave="0" documentId="8_{EB441115-AFF8-47D7-9876-ED823BFDEB82}" xr6:coauthVersionLast="47" xr6:coauthVersionMax="47" xr10:uidLastSave="{00000000-0000-0000-0000-000000000000}"/>
  <bookViews>
    <workbookView xWindow="-120" yWindow="-120" windowWidth="20730" windowHeight="11040" firstSheet="1" activeTab="2" xr2:uid="{00000000-000D-0000-FFFF-FFFF00000000}"/>
  </bookViews>
  <sheets>
    <sheet name="Enable Macros" sheetId="3" state="veryHidden" r:id="rId1"/>
    <sheet name="Budget" sheetId="4" r:id="rId2"/>
    <sheet name="Cellular" sheetId="5" r:id="rId3"/>
    <sheet name="Calls" sheetId="6" r:id="rId4"/>
    <sheet name="Data" sheetId="7" r:id="rId5"/>
    <sheet name="Messages" sheetId="8" r:id="rId6"/>
    <sheet name="CashFlow" sheetId="9" r:id="rId7"/>
  </sheets>
  <definedNames>
    <definedName name="Expenses">Budget!$C$15:$C$19</definedName>
    <definedName name="Income">Budget!$C$10:$C$11</definedName>
    <definedName name="Savings">Budget!$C$22</definedName>
    <definedName name="Total_Expenses">Budget!$C$20</definedName>
    <definedName name="Total_Income">Budget!$C$12</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5" l="1"/>
  <c r="I26" i="5"/>
  <c r="I24" i="5"/>
  <c r="I15" i="5"/>
  <c r="I14" i="5"/>
  <c r="F13" i="5"/>
  <c r="F4" i="5"/>
  <c r="I7" i="5"/>
  <c r="I6" i="5"/>
  <c r="I4" i="5"/>
  <c r="F12" i="5"/>
  <c r="F11" i="5"/>
  <c r="F6" i="5"/>
  <c r="D36" i="9"/>
  <c r="H33" i="9"/>
  <c r="H32" i="9"/>
  <c r="G33" i="9"/>
  <c r="G32" i="9"/>
  <c r="F33" i="9"/>
  <c r="F32" i="9"/>
  <c r="D33" i="9"/>
  <c r="E31" i="9"/>
  <c r="I28" i="9"/>
  <c r="H28" i="9"/>
  <c r="G28" i="9"/>
  <c r="F28" i="9"/>
  <c r="E28" i="9"/>
  <c r="I26" i="9"/>
  <c r="H26" i="9"/>
  <c r="H8" i="9"/>
  <c r="G26" i="9"/>
  <c r="G8" i="9"/>
  <c r="F8" i="9"/>
  <c r="E26" i="9"/>
  <c r="I24" i="9"/>
  <c r="I13" i="9"/>
  <c r="H24" i="9"/>
  <c r="H13" i="9"/>
  <c r="G24" i="9"/>
  <c r="G13" i="9"/>
  <c r="F24" i="9"/>
  <c r="F13" i="9"/>
  <c r="E24" i="9"/>
  <c r="E13" i="9"/>
  <c r="D13" i="9"/>
  <c r="F5" i="5"/>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9" i="6"/>
  <c r="I10" i="6"/>
  <c r="I11" i="6"/>
  <c r="I12"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3" i="6"/>
  <c r="I4" i="6"/>
  <c r="I5" i="6"/>
  <c r="I6" i="6"/>
  <c r="I7" i="6"/>
  <c r="I8" i="6"/>
  <c r="I3" i="6"/>
  <c r="E8" i="9"/>
  <c r="C22" i="4"/>
  <c r="C20" i="4"/>
  <c r="C12" i="4"/>
  <c r="G554" i="6"/>
  <c r="F554" i="6"/>
  <c r="G553" i="6"/>
  <c r="F553" i="6"/>
  <c r="G552" i="6"/>
  <c r="F552" i="6"/>
  <c r="G551" i="6"/>
  <c r="F551" i="6"/>
  <c r="G550" i="6"/>
  <c r="F550" i="6"/>
  <c r="G549" i="6"/>
  <c r="F549" i="6"/>
  <c r="G548" i="6"/>
  <c r="F548" i="6"/>
  <c r="G547" i="6"/>
  <c r="F547" i="6"/>
  <c r="G546" i="6"/>
  <c r="F546" i="6"/>
  <c r="G545" i="6"/>
  <c r="F545" i="6"/>
  <c r="G544" i="6"/>
  <c r="F544" i="6"/>
  <c r="G543" i="6"/>
  <c r="F543" i="6"/>
  <c r="G542" i="6"/>
  <c r="F542" i="6"/>
  <c r="G541" i="6"/>
  <c r="F541" i="6"/>
  <c r="G540" i="6"/>
  <c r="F540" i="6"/>
  <c r="G539" i="6"/>
  <c r="F539" i="6"/>
  <c r="G538" i="6"/>
  <c r="F538" i="6"/>
  <c r="G537" i="6"/>
  <c r="F537" i="6"/>
  <c r="G536" i="6"/>
  <c r="F536" i="6"/>
  <c r="G535" i="6"/>
  <c r="F535" i="6"/>
  <c r="G534" i="6"/>
  <c r="F534" i="6"/>
  <c r="G533" i="6"/>
  <c r="F533" i="6"/>
  <c r="G532" i="6"/>
  <c r="F532" i="6"/>
  <c r="G531" i="6"/>
  <c r="F531" i="6"/>
  <c r="G530" i="6"/>
  <c r="F530" i="6"/>
  <c r="G529" i="6"/>
  <c r="F529" i="6"/>
  <c r="G528" i="6"/>
  <c r="F528" i="6"/>
  <c r="G527" i="6"/>
  <c r="F527" i="6"/>
  <c r="G526" i="6"/>
  <c r="F526" i="6"/>
  <c r="G525" i="6"/>
  <c r="F525" i="6"/>
  <c r="G524" i="6"/>
  <c r="F524" i="6"/>
  <c r="G523" i="6"/>
  <c r="F523" i="6"/>
  <c r="G522" i="6"/>
  <c r="F522" i="6"/>
  <c r="G521" i="6"/>
  <c r="F521" i="6"/>
  <c r="G520" i="6"/>
  <c r="F520" i="6"/>
  <c r="G519" i="6"/>
  <c r="F519" i="6"/>
  <c r="G518" i="6"/>
  <c r="F518" i="6"/>
  <c r="G517" i="6"/>
  <c r="F517" i="6"/>
  <c r="G516" i="6"/>
  <c r="F516" i="6"/>
  <c r="G515" i="6"/>
  <c r="F515" i="6"/>
  <c r="G514" i="6"/>
  <c r="F514" i="6"/>
  <c r="G513" i="6"/>
  <c r="F513" i="6"/>
  <c r="G512" i="6"/>
  <c r="F512" i="6"/>
  <c r="G511" i="6"/>
  <c r="F511" i="6"/>
  <c r="G510" i="6"/>
  <c r="F510" i="6"/>
  <c r="G509" i="6"/>
  <c r="F509" i="6"/>
  <c r="G508" i="6"/>
  <c r="F508" i="6"/>
  <c r="G507" i="6"/>
  <c r="F507" i="6"/>
  <c r="G506" i="6"/>
  <c r="F506" i="6"/>
  <c r="G505" i="6"/>
  <c r="F505" i="6"/>
  <c r="G504" i="6"/>
  <c r="F504" i="6"/>
  <c r="G503" i="6"/>
  <c r="F503" i="6"/>
  <c r="G502" i="6"/>
  <c r="F502" i="6"/>
  <c r="G501" i="6"/>
  <c r="F501" i="6"/>
  <c r="G500" i="6"/>
  <c r="F500" i="6"/>
  <c r="G499" i="6"/>
  <c r="F499" i="6"/>
  <c r="G498" i="6"/>
  <c r="F498" i="6"/>
  <c r="G497" i="6"/>
  <c r="F497" i="6"/>
  <c r="G496" i="6"/>
  <c r="F496" i="6"/>
  <c r="G495" i="6"/>
  <c r="F495" i="6"/>
  <c r="G494" i="6"/>
  <c r="F494" i="6"/>
  <c r="G493" i="6"/>
  <c r="F493" i="6"/>
  <c r="G492" i="6"/>
  <c r="F492" i="6"/>
  <c r="G491" i="6"/>
  <c r="F491" i="6"/>
  <c r="G490" i="6"/>
  <c r="F490" i="6"/>
  <c r="G489" i="6"/>
  <c r="F489" i="6"/>
  <c r="G488" i="6"/>
  <c r="F488" i="6"/>
  <c r="G487" i="6"/>
  <c r="F487" i="6"/>
  <c r="G486" i="6"/>
  <c r="F486" i="6"/>
  <c r="G485" i="6"/>
  <c r="F485" i="6"/>
  <c r="G484" i="6"/>
  <c r="F484" i="6"/>
  <c r="G483" i="6"/>
  <c r="F483" i="6"/>
  <c r="G482" i="6"/>
  <c r="F482" i="6"/>
  <c r="G481" i="6"/>
  <c r="F481" i="6"/>
  <c r="G480" i="6"/>
  <c r="F480" i="6"/>
  <c r="G479" i="6"/>
  <c r="F479" i="6"/>
  <c r="G478" i="6"/>
  <c r="F478" i="6"/>
  <c r="G477" i="6"/>
  <c r="F477" i="6"/>
  <c r="G476" i="6"/>
  <c r="F476" i="6"/>
  <c r="G475" i="6"/>
  <c r="F475" i="6"/>
  <c r="G474" i="6"/>
  <c r="F474" i="6"/>
  <c r="G473" i="6"/>
  <c r="F473" i="6"/>
  <c r="G472" i="6"/>
  <c r="F472" i="6"/>
  <c r="G471" i="6"/>
  <c r="F471" i="6"/>
  <c r="G470" i="6"/>
  <c r="F470" i="6"/>
  <c r="G469" i="6"/>
  <c r="F469" i="6"/>
  <c r="G468" i="6"/>
  <c r="F468" i="6"/>
  <c r="G467" i="6"/>
  <c r="F467" i="6"/>
  <c r="G466" i="6"/>
  <c r="F466" i="6"/>
  <c r="G465" i="6"/>
  <c r="F465" i="6"/>
  <c r="G464" i="6"/>
  <c r="F464" i="6"/>
  <c r="G463" i="6"/>
  <c r="F463" i="6"/>
  <c r="G462" i="6"/>
  <c r="F462" i="6"/>
  <c r="G461" i="6"/>
  <c r="F461" i="6"/>
  <c r="G460" i="6"/>
  <c r="F460" i="6"/>
  <c r="G459" i="6"/>
  <c r="F459" i="6"/>
  <c r="G458" i="6"/>
  <c r="F458" i="6"/>
  <c r="G457" i="6"/>
  <c r="F457" i="6"/>
  <c r="G456" i="6"/>
  <c r="F456" i="6"/>
  <c r="G455" i="6"/>
  <c r="F455" i="6"/>
  <c r="G454" i="6"/>
  <c r="F454" i="6"/>
  <c r="G453" i="6"/>
  <c r="F453" i="6"/>
  <c r="G452" i="6"/>
  <c r="F452" i="6"/>
  <c r="G451" i="6"/>
  <c r="F451" i="6"/>
  <c r="G450" i="6"/>
  <c r="F450" i="6"/>
  <c r="G449" i="6"/>
  <c r="F449" i="6"/>
  <c r="G448" i="6"/>
  <c r="F448" i="6"/>
  <c r="G447" i="6"/>
  <c r="F447" i="6"/>
  <c r="G446" i="6"/>
  <c r="F446" i="6"/>
  <c r="G445" i="6"/>
  <c r="F445" i="6"/>
  <c r="G444" i="6"/>
  <c r="F444" i="6"/>
  <c r="G443" i="6"/>
  <c r="F443" i="6"/>
  <c r="G442" i="6"/>
  <c r="F442" i="6"/>
  <c r="G441" i="6"/>
  <c r="F441" i="6"/>
  <c r="G440" i="6"/>
  <c r="F440" i="6"/>
  <c r="G439" i="6"/>
  <c r="F439" i="6"/>
  <c r="G438" i="6"/>
  <c r="F438" i="6"/>
  <c r="G437" i="6"/>
  <c r="F437" i="6"/>
  <c r="G436" i="6"/>
  <c r="F436" i="6"/>
  <c r="G435" i="6"/>
  <c r="F435" i="6"/>
  <c r="G434" i="6"/>
  <c r="F434" i="6"/>
  <c r="G433" i="6"/>
  <c r="F433" i="6"/>
  <c r="G432" i="6"/>
  <c r="F432" i="6"/>
  <c r="G431" i="6"/>
  <c r="F431" i="6"/>
  <c r="G430" i="6"/>
  <c r="F430" i="6"/>
  <c r="G429" i="6"/>
  <c r="F429" i="6"/>
  <c r="G428" i="6"/>
  <c r="F428" i="6"/>
  <c r="G427" i="6"/>
  <c r="F427" i="6"/>
  <c r="G426" i="6"/>
  <c r="F426" i="6"/>
  <c r="G425" i="6"/>
  <c r="F425" i="6"/>
  <c r="G424" i="6"/>
  <c r="F424" i="6"/>
  <c r="G423" i="6"/>
  <c r="F423" i="6"/>
  <c r="G422" i="6"/>
  <c r="F422" i="6"/>
  <c r="G421" i="6"/>
  <c r="F421" i="6"/>
  <c r="G420" i="6"/>
  <c r="F420" i="6"/>
  <c r="G419" i="6"/>
  <c r="F419" i="6"/>
  <c r="G418" i="6"/>
  <c r="F418" i="6"/>
  <c r="G417" i="6"/>
  <c r="F417" i="6"/>
  <c r="G416" i="6"/>
  <c r="F416" i="6"/>
  <c r="G415" i="6"/>
  <c r="F415" i="6"/>
  <c r="G414" i="6"/>
  <c r="F414" i="6"/>
  <c r="G413" i="6"/>
  <c r="F413" i="6"/>
  <c r="G412" i="6"/>
  <c r="F412" i="6"/>
  <c r="G411" i="6"/>
  <c r="F411" i="6"/>
  <c r="G410" i="6"/>
  <c r="F410" i="6"/>
  <c r="G409" i="6"/>
  <c r="F409" i="6"/>
  <c r="G408" i="6"/>
  <c r="F408" i="6"/>
  <c r="G407" i="6"/>
  <c r="F407" i="6"/>
  <c r="G406" i="6"/>
  <c r="F406" i="6"/>
  <c r="G405" i="6"/>
  <c r="F405" i="6"/>
  <c r="G404" i="6"/>
  <c r="F404" i="6"/>
  <c r="G403" i="6"/>
  <c r="F403" i="6"/>
  <c r="G402" i="6"/>
  <c r="F402" i="6"/>
  <c r="G401" i="6"/>
  <c r="F401" i="6"/>
  <c r="G400" i="6"/>
  <c r="F400" i="6"/>
  <c r="G399" i="6"/>
  <c r="F399" i="6"/>
  <c r="G398" i="6"/>
  <c r="F398" i="6"/>
  <c r="G397" i="6"/>
  <c r="F397" i="6"/>
  <c r="G396" i="6"/>
  <c r="F396" i="6"/>
  <c r="G395" i="6"/>
  <c r="F395" i="6"/>
  <c r="G394" i="6"/>
  <c r="F394" i="6"/>
  <c r="G393" i="6"/>
  <c r="F393" i="6"/>
  <c r="G392" i="6"/>
  <c r="F392" i="6"/>
  <c r="G391" i="6"/>
  <c r="F391" i="6"/>
  <c r="G390" i="6"/>
  <c r="F390" i="6"/>
  <c r="G389" i="6"/>
  <c r="F389" i="6"/>
  <c r="G388" i="6"/>
  <c r="F388" i="6"/>
  <c r="G387" i="6"/>
  <c r="F387" i="6"/>
  <c r="G386" i="6"/>
  <c r="F386" i="6"/>
  <c r="G385" i="6"/>
  <c r="F385" i="6"/>
  <c r="G384" i="6"/>
  <c r="F384" i="6"/>
  <c r="G383" i="6"/>
  <c r="F383" i="6"/>
  <c r="G382" i="6"/>
  <c r="F382" i="6"/>
  <c r="G381" i="6"/>
  <c r="F381" i="6"/>
  <c r="G380" i="6"/>
  <c r="F380" i="6"/>
  <c r="G379" i="6"/>
  <c r="F379" i="6"/>
  <c r="G378" i="6"/>
  <c r="F378" i="6"/>
  <c r="G377" i="6"/>
  <c r="F377" i="6"/>
  <c r="G376" i="6"/>
  <c r="F376" i="6"/>
  <c r="G375" i="6"/>
  <c r="F375" i="6"/>
  <c r="G374" i="6"/>
  <c r="F374" i="6"/>
  <c r="G373" i="6"/>
  <c r="F373" i="6"/>
  <c r="G372" i="6"/>
  <c r="F372" i="6"/>
  <c r="G371" i="6"/>
  <c r="F371" i="6"/>
  <c r="G370" i="6"/>
  <c r="F370" i="6"/>
  <c r="G369" i="6"/>
  <c r="F369" i="6"/>
  <c r="G368" i="6"/>
  <c r="F368" i="6"/>
  <c r="G367" i="6"/>
  <c r="F367" i="6"/>
  <c r="G366" i="6"/>
  <c r="F366" i="6"/>
  <c r="G365" i="6"/>
  <c r="F365" i="6"/>
  <c r="G364" i="6"/>
  <c r="F364" i="6"/>
  <c r="G363" i="6"/>
  <c r="F363" i="6"/>
  <c r="G362" i="6"/>
  <c r="F362" i="6"/>
  <c r="G361" i="6"/>
  <c r="F361" i="6"/>
  <c r="G360" i="6"/>
  <c r="F360" i="6"/>
  <c r="G359" i="6"/>
  <c r="F359" i="6"/>
  <c r="G358" i="6"/>
  <c r="F358" i="6"/>
  <c r="G357" i="6"/>
  <c r="F357" i="6"/>
  <c r="G356" i="6"/>
  <c r="F356" i="6"/>
  <c r="G355" i="6"/>
  <c r="F355" i="6"/>
  <c r="G354" i="6"/>
  <c r="F354" i="6"/>
  <c r="G353" i="6"/>
  <c r="F353" i="6"/>
  <c r="G352" i="6"/>
  <c r="F352" i="6"/>
  <c r="G351" i="6"/>
  <c r="F351" i="6"/>
  <c r="G350" i="6"/>
  <c r="F350" i="6"/>
  <c r="G349" i="6"/>
  <c r="F349" i="6"/>
  <c r="G348" i="6"/>
  <c r="F348" i="6"/>
  <c r="G347" i="6"/>
  <c r="F347" i="6"/>
  <c r="G346" i="6"/>
  <c r="F346" i="6"/>
  <c r="G345" i="6"/>
  <c r="F345" i="6"/>
  <c r="G344" i="6"/>
  <c r="F344" i="6"/>
  <c r="G343" i="6"/>
  <c r="F343" i="6"/>
  <c r="G342" i="6"/>
  <c r="F342" i="6"/>
  <c r="G341" i="6"/>
  <c r="F341" i="6"/>
  <c r="G340" i="6"/>
  <c r="F340" i="6"/>
  <c r="G339" i="6"/>
  <c r="F339" i="6"/>
  <c r="G338" i="6"/>
  <c r="F338" i="6"/>
  <c r="G337" i="6"/>
  <c r="F337" i="6"/>
  <c r="G336" i="6"/>
  <c r="F336" i="6"/>
  <c r="G335" i="6"/>
  <c r="F335" i="6"/>
  <c r="G334" i="6"/>
  <c r="F334" i="6"/>
  <c r="G333" i="6"/>
  <c r="F333" i="6"/>
  <c r="G332" i="6"/>
  <c r="F332" i="6"/>
  <c r="G331" i="6"/>
  <c r="F331" i="6"/>
  <c r="G330" i="6"/>
  <c r="F330" i="6"/>
  <c r="G329" i="6"/>
  <c r="F329" i="6"/>
  <c r="G328" i="6"/>
  <c r="F328" i="6"/>
  <c r="G327" i="6"/>
  <c r="F327" i="6"/>
  <c r="G326" i="6"/>
  <c r="F326" i="6"/>
  <c r="G325" i="6"/>
  <c r="F325" i="6"/>
  <c r="G324" i="6"/>
  <c r="F324" i="6"/>
  <c r="G323" i="6"/>
  <c r="F323" i="6"/>
  <c r="G322" i="6"/>
  <c r="F322" i="6"/>
  <c r="G321" i="6"/>
  <c r="F321" i="6"/>
  <c r="G320" i="6"/>
  <c r="F320" i="6"/>
  <c r="G319" i="6"/>
  <c r="F319" i="6"/>
  <c r="G318" i="6"/>
  <c r="F318" i="6"/>
  <c r="G317" i="6"/>
  <c r="F317" i="6"/>
  <c r="G316" i="6"/>
  <c r="F316" i="6"/>
  <c r="G315" i="6"/>
  <c r="F315" i="6"/>
  <c r="G314" i="6"/>
  <c r="F314" i="6"/>
  <c r="G313" i="6"/>
  <c r="F313" i="6"/>
  <c r="G312" i="6"/>
  <c r="F312" i="6"/>
  <c r="G311" i="6"/>
  <c r="F311" i="6"/>
  <c r="G310" i="6"/>
  <c r="F310" i="6"/>
  <c r="G309" i="6"/>
  <c r="F309" i="6"/>
  <c r="G308" i="6"/>
  <c r="F308" i="6"/>
  <c r="G307" i="6"/>
  <c r="F307" i="6"/>
  <c r="G306" i="6"/>
  <c r="F306" i="6"/>
  <c r="G305" i="6"/>
  <c r="F305" i="6"/>
  <c r="G304" i="6"/>
  <c r="F304" i="6"/>
  <c r="G303" i="6"/>
  <c r="F303" i="6"/>
  <c r="G302" i="6"/>
  <c r="F302" i="6"/>
  <c r="G301" i="6"/>
  <c r="F301" i="6"/>
  <c r="G300" i="6"/>
  <c r="F300" i="6"/>
  <c r="G299" i="6"/>
  <c r="F299" i="6"/>
  <c r="G298" i="6"/>
  <c r="F298" i="6"/>
  <c r="G297" i="6"/>
  <c r="F297" i="6"/>
  <c r="G296" i="6"/>
  <c r="F296" i="6"/>
  <c r="G295" i="6"/>
  <c r="F295" i="6"/>
  <c r="G294" i="6"/>
  <c r="F294" i="6"/>
  <c r="G293" i="6"/>
  <c r="F293" i="6"/>
  <c r="G292" i="6"/>
  <c r="F292" i="6"/>
  <c r="G291" i="6"/>
  <c r="F291" i="6"/>
  <c r="G290" i="6"/>
  <c r="F290" i="6"/>
  <c r="G289" i="6"/>
  <c r="F289" i="6"/>
  <c r="G288" i="6"/>
  <c r="F288" i="6"/>
  <c r="G287" i="6"/>
  <c r="F287" i="6"/>
  <c r="G286" i="6"/>
  <c r="F286" i="6"/>
  <c r="G285" i="6"/>
  <c r="F285" i="6"/>
  <c r="G284" i="6"/>
  <c r="F284" i="6"/>
  <c r="G283" i="6"/>
  <c r="F283" i="6"/>
  <c r="G282" i="6"/>
  <c r="F282" i="6"/>
  <c r="G281" i="6"/>
  <c r="F281" i="6"/>
  <c r="G280" i="6"/>
  <c r="F280" i="6"/>
  <c r="G279" i="6"/>
  <c r="F279" i="6"/>
  <c r="G278" i="6"/>
  <c r="F278" i="6"/>
  <c r="G277" i="6"/>
  <c r="F277" i="6"/>
  <c r="G276" i="6"/>
  <c r="F276" i="6"/>
  <c r="G275" i="6"/>
  <c r="F275" i="6"/>
  <c r="G274" i="6"/>
  <c r="F274" i="6"/>
  <c r="G273" i="6"/>
  <c r="F273" i="6"/>
  <c r="G272" i="6"/>
  <c r="F272" i="6"/>
  <c r="G271" i="6"/>
  <c r="F271" i="6"/>
  <c r="G270" i="6"/>
  <c r="F270" i="6"/>
  <c r="G269" i="6"/>
  <c r="F269" i="6"/>
  <c r="G268" i="6"/>
  <c r="F268" i="6"/>
  <c r="G267" i="6"/>
  <c r="F267" i="6"/>
  <c r="G266" i="6"/>
  <c r="F266" i="6"/>
  <c r="G265" i="6"/>
  <c r="F265" i="6"/>
  <c r="G264" i="6"/>
  <c r="F264" i="6"/>
  <c r="G263" i="6"/>
  <c r="F263" i="6"/>
  <c r="G262" i="6"/>
  <c r="F262" i="6"/>
  <c r="G261" i="6"/>
  <c r="F261" i="6"/>
  <c r="G260" i="6"/>
  <c r="F260" i="6"/>
  <c r="G259" i="6"/>
  <c r="F259" i="6"/>
  <c r="G258" i="6"/>
  <c r="F258" i="6"/>
  <c r="G257" i="6"/>
  <c r="F257" i="6"/>
  <c r="G256" i="6"/>
  <c r="F256" i="6"/>
  <c r="G255" i="6"/>
  <c r="F255" i="6"/>
  <c r="G254" i="6"/>
  <c r="F254" i="6"/>
  <c r="G253" i="6"/>
  <c r="F253" i="6"/>
  <c r="G252" i="6"/>
  <c r="F252" i="6"/>
  <c r="G251" i="6"/>
  <c r="F251" i="6"/>
  <c r="G250" i="6"/>
  <c r="F250" i="6"/>
  <c r="G249" i="6"/>
  <c r="F249" i="6"/>
  <c r="G248" i="6"/>
  <c r="F248" i="6"/>
  <c r="G247" i="6"/>
  <c r="F247" i="6"/>
  <c r="G246" i="6"/>
  <c r="F246" i="6"/>
  <c r="G245" i="6"/>
  <c r="F245" i="6"/>
  <c r="G244" i="6"/>
  <c r="F244" i="6"/>
  <c r="G243" i="6"/>
  <c r="F243" i="6"/>
  <c r="G242" i="6"/>
  <c r="F242" i="6"/>
  <c r="G241" i="6"/>
  <c r="F241" i="6"/>
  <c r="G240" i="6"/>
  <c r="F240" i="6"/>
  <c r="G239" i="6"/>
  <c r="F239" i="6"/>
  <c r="G238" i="6"/>
  <c r="F238" i="6"/>
  <c r="G237" i="6"/>
  <c r="F237" i="6"/>
  <c r="G236" i="6"/>
  <c r="F236" i="6"/>
  <c r="G235" i="6"/>
  <c r="F235" i="6"/>
  <c r="G234" i="6"/>
  <c r="F234" i="6"/>
  <c r="G233" i="6"/>
  <c r="F233" i="6"/>
  <c r="G232" i="6"/>
  <c r="F232" i="6"/>
  <c r="G231" i="6"/>
  <c r="F231" i="6"/>
  <c r="G230" i="6"/>
  <c r="F230" i="6"/>
  <c r="G229" i="6"/>
  <c r="F229" i="6"/>
  <c r="G228" i="6"/>
  <c r="F228" i="6"/>
  <c r="G227" i="6"/>
  <c r="F227" i="6"/>
  <c r="G226" i="6"/>
  <c r="F226" i="6"/>
  <c r="G225" i="6"/>
  <c r="F225" i="6"/>
  <c r="G224" i="6"/>
  <c r="F224" i="6"/>
  <c r="G223" i="6"/>
  <c r="F223" i="6"/>
  <c r="G222" i="6"/>
  <c r="F222" i="6"/>
  <c r="G221" i="6"/>
  <c r="F221" i="6"/>
  <c r="G220" i="6"/>
  <c r="F220" i="6"/>
  <c r="G219" i="6"/>
  <c r="F219" i="6"/>
  <c r="G218" i="6"/>
  <c r="F218" i="6"/>
  <c r="G217" i="6"/>
  <c r="F217" i="6"/>
  <c r="G216" i="6"/>
  <c r="F216" i="6"/>
  <c r="G215" i="6"/>
  <c r="F215" i="6"/>
  <c r="G214" i="6"/>
  <c r="F214" i="6"/>
  <c r="G213" i="6"/>
  <c r="F213" i="6"/>
  <c r="G212" i="6"/>
  <c r="F212" i="6"/>
  <c r="G211" i="6"/>
  <c r="F211" i="6"/>
  <c r="G210" i="6"/>
  <c r="F210" i="6"/>
  <c r="G209" i="6"/>
  <c r="F209" i="6"/>
  <c r="G208" i="6"/>
  <c r="F208" i="6"/>
  <c r="G207" i="6"/>
  <c r="F207" i="6"/>
  <c r="G206" i="6"/>
  <c r="F206" i="6"/>
  <c r="G205" i="6"/>
  <c r="F205" i="6"/>
  <c r="G204" i="6"/>
  <c r="F204" i="6"/>
  <c r="G203" i="6"/>
  <c r="F203" i="6"/>
  <c r="G202" i="6"/>
  <c r="F202" i="6"/>
  <c r="G201" i="6"/>
  <c r="F201" i="6"/>
  <c r="G200" i="6"/>
  <c r="F200" i="6"/>
  <c r="G199" i="6"/>
  <c r="F199" i="6"/>
  <c r="G198" i="6"/>
  <c r="F198" i="6"/>
  <c r="G197" i="6"/>
  <c r="F197" i="6"/>
  <c r="G196" i="6"/>
  <c r="F196" i="6"/>
  <c r="G195" i="6"/>
  <c r="F195" i="6"/>
  <c r="G194" i="6"/>
  <c r="F194" i="6"/>
  <c r="G193" i="6"/>
  <c r="F193" i="6"/>
  <c r="G192" i="6"/>
  <c r="F192" i="6"/>
  <c r="G191" i="6"/>
  <c r="F191" i="6"/>
  <c r="G190" i="6"/>
  <c r="F190" i="6"/>
  <c r="G189" i="6"/>
  <c r="F189" i="6"/>
  <c r="G188" i="6"/>
  <c r="F188" i="6"/>
  <c r="G187" i="6"/>
  <c r="F187" i="6"/>
  <c r="G186" i="6"/>
  <c r="F186" i="6"/>
  <c r="G185" i="6"/>
  <c r="F185" i="6"/>
  <c r="G184" i="6"/>
  <c r="F184" i="6"/>
  <c r="G183" i="6"/>
  <c r="F183" i="6"/>
  <c r="G182" i="6"/>
  <c r="F182" i="6"/>
  <c r="G181" i="6"/>
  <c r="F181" i="6"/>
  <c r="G180" i="6"/>
  <c r="F180" i="6"/>
  <c r="G179" i="6"/>
  <c r="F179" i="6"/>
  <c r="G178" i="6"/>
  <c r="F178" i="6"/>
  <c r="G177" i="6"/>
  <c r="F177" i="6"/>
  <c r="G176" i="6"/>
  <c r="F176" i="6"/>
  <c r="G175" i="6"/>
  <c r="F175" i="6"/>
  <c r="G174" i="6"/>
  <c r="F174" i="6"/>
  <c r="G173" i="6"/>
  <c r="F173" i="6"/>
  <c r="G172" i="6"/>
  <c r="F172" i="6"/>
  <c r="G171" i="6"/>
  <c r="F171" i="6"/>
  <c r="G170" i="6"/>
  <c r="F170" i="6"/>
  <c r="G169" i="6"/>
  <c r="F169" i="6"/>
  <c r="G168" i="6"/>
  <c r="F168" i="6"/>
  <c r="G167" i="6"/>
  <c r="F167" i="6"/>
  <c r="G166" i="6"/>
  <c r="F166" i="6"/>
  <c r="G165" i="6"/>
  <c r="F165" i="6"/>
  <c r="G164" i="6"/>
  <c r="F164" i="6"/>
  <c r="G163" i="6"/>
  <c r="F163" i="6"/>
  <c r="G162" i="6"/>
  <c r="F162" i="6"/>
  <c r="G161" i="6"/>
  <c r="F161" i="6"/>
  <c r="G160" i="6"/>
  <c r="F160" i="6"/>
  <c r="G159" i="6"/>
  <c r="F159" i="6"/>
  <c r="G158" i="6"/>
  <c r="F158" i="6"/>
  <c r="G157" i="6"/>
  <c r="F157" i="6"/>
  <c r="G156" i="6"/>
  <c r="F156" i="6"/>
  <c r="G155" i="6"/>
  <c r="F155" i="6"/>
  <c r="G154" i="6"/>
  <c r="F154" i="6"/>
  <c r="G153" i="6"/>
  <c r="F153" i="6"/>
  <c r="G152" i="6"/>
  <c r="F152" i="6"/>
  <c r="G151" i="6"/>
  <c r="F151" i="6"/>
  <c r="G150" i="6"/>
  <c r="F150" i="6"/>
  <c r="G149" i="6"/>
  <c r="F149" i="6"/>
  <c r="G148" i="6"/>
  <c r="F148" i="6"/>
  <c r="G147" i="6"/>
  <c r="F147" i="6"/>
  <c r="G146" i="6"/>
  <c r="F146" i="6"/>
  <c r="G145" i="6"/>
  <c r="F145" i="6"/>
  <c r="G144" i="6"/>
  <c r="F144" i="6"/>
  <c r="G143" i="6"/>
  <c r="F143" i="6"/>
  <c r="G142" i="6"/>
  <c r="F142" i="6"/>
  <c r="G141" i="6"/>
  <c r="F141" i="6"/>
  <c r="G140" i="6"/>
  <c r="F140" i="6"/>
  <c r="G139" i="6"/>
  <c r="F139" i="6"/>
  <c r="G138" i="6"/>
  <c r="F138" i="6"/>
  <c r="G137" i="6"/>
  <c r="F137" i="6"/>
  <c r="G136" i="6"/>
  <c r="F136" i="6"/>
  <c r="G135" i="6"/>
  <c r="F135" i="6"/>
  <c r="G134" i="6"/>
  <c r="F134" i="6"/>
  <c r="G133" i="6"/>
  <c r="F133" i="6"/>
  <c r="G132" i="6"/>
  <c r="F132" i="6"/>
  <c r="G131" i="6"/>
  <c r="F131" i="6"/>
  <c r="G130" i="6"/>
  <c r="F130" i="6"/>
  <c r="G129" i="6"/>
  <c r="F129" i="6"/>
  <c r="G128" i="6"/>
  <c r="F128" i="6"/>
  <c r="G127" i="6"/>
  <c r="F127" i="6"/>
  <c r="G126" i="6"/>
  <c r="F126" i="6"/>
  <c r="G125" i="6"/>
  <c r="F125" i="6"/>
  <c r="G124" i="6"/>
  <c r="F124" i="6"/>
  <c r="G123" i="6"/>
  <c r="F123" i="6"/>
  <c r="G122" i="6"/>
  <c r="F122" i="6"/>
  <c r="G121" i="6"/>
  <c r="F121" i="6"/>
  <c r="G120" i="6"/>
  <c r="F120" i="6"/>
  <c r="G119" i="6"/>
  <c r="F119" i="6"/>
  <c r="G118" i="6"/>
  <c r="F118" i="6"/>
  <c r="G117" i="6"/>
  <c r="F117" i="6"/>
  <c r="G116" i="6"/>
  <c r="F116" i="6"/>
  <c r="G115" i="6"/>
  <c r="F115" i="6"/>
  <c r="G114" i="6"/>
  <c r="F114" i="6"/>
  <c r="G113" i="6"/>
  <c r="F113" i="6"/>
  <c r="G112" i="6"/>
  <c r="F112" i="6"/>
  <c r="G111" i="6"/>
  <c r="F111" i="6"/>
  <c r="G110" i="6"/>
  <c r="F110" i="6"/>
  <c r="G109" i="6"/>
  <c r="F109" i="6"/>
  <c r="G108" i="6"/>
  <c r="F108" i="6"/>
  <c r="G107" i="6"/>
  <c r="F107" i="6"/>
  <c r="G106" i="6"/>
  <c r="F106" i="6"/>
  <c r="G105" i="6"/>
  <c r="F105" i="6"/>
  <c r="G104" i="6"/>
  <c r="F104" i="6"/>
  <c r="G103" i="6"/>
  <c r="F103" i="6"/>
  <c r="G102" i="6"/>
  <c r="F102" i="6"/>
  <c r="G101" i="6"/>
  <c r="F101" i="6"/>
  <c r="G100" i="6"/>
  <c r="F100" i="6"/>
  <c r="G99" i="6"/>
  <c r="F99" i="6"/>
  <c r="G98" i="6"/>
  <c r="F98" i="6"/>
  <c r="G97" i="6"/>
  <c r="F97" i="6"/>
  <c r="G96" i="6"/>
  <c r="F96" i="6"/>
  <c r="G95" i="6"/>
  <c r="F95" i="6"/>
  <c r="G94" i="6"/>
  <c r="F94" i="6"/>
  <c r="G93" i="6"/>
  <c r="F93" i="6"/>
  <c r="G92" i="6"/>
  <c r="F92" i="6"/>
  <c r="G91" i="6"/>
  <c r="F91" i="6"/>
  <c r="G90" i="6"/>
  <c r="F90" i="6"/>
  <c r="G89" i="6"/>
  <c r="F89" i="6"/>
  <c r="G88" i="6"/>
  <c r="F88" i="6"/>
  <c r="G87" i="6"/>
  <c r="F87" i="6"/>
  <c r="G86" i="6"/>
  <c r="F86" i="6"/>
  <c r="G85" i="6"/>
  <c r="F85" i="6"/>
  <c r="G84" i="6"/>
  <c r="F84" i="6"/>
  <c r="G83" i="6"/>
  <c r="F83" i="6"/>
  <c r="G82" i="6"/>
  <c r="F82" i="6"/>
  <c r="G81" i="6"/>
  <c r="F81" i="6"/>
  <c r="G80" i="6"/>
  <c r="F80" i="6"/>
  <c r="G79" i="6"/>
  <c r="F79" i="6"/>
  <c r="G78" i="6"/>
  <c r="F78" i="6"/>
  <c r="G77" i="6"/>
  <c r="F77" i="6"/>
  <c r="G76" i="6"/>
  <c r="F76" i="6"/>
  <c r="G75" i="6"/>
  <c r="F75" i="6"/>
  <c r="G74" i="6"/>
  <c r="F74" i="6"/>
  <c r="G73" i="6"/>
  <c r="F73" i="6"/>
  <c r="G72" i="6"/>
  <c r="F72" i="6"/>
  <c r="G71" i="6"/>
  <c r="F71" i="6"/>
  <c r="G70" i="6"/>
  <c r="F70" i="6"/>
  <c r="G69" i="6"/>
  <c r="F69" i="6"/>
  <c r="G68" i="6"/>
  <c r="F68" i="6"/>
  <c r="G67" i="6"/>
  <c r="F67" i="6"/>
  <c r="G66" i="6"/>
  <c r="F66" i="6"/>
  <c r="G65" i="6"/>
  <c r="F65" i="6"/>
  <c r="G64" i="6"/>
  <c r="F64" i="6"/>
  <c r="G63" i="6"/>
  <c r="F63" i="6"/>
  <c r="G62" i="6"/>
  <c r="F62" i="6"/>
  <c r="G61" i="6"/>
  <c r="F61" i="6"/>
  <c r="G60" i="6"/>
  <c r="F60" i="6"/>
  <c r="G59" i="6"/>
  <c r="F59" i="6"/>
  <c r="G58" i="6"/>
  <c r="F58" i="6"/>
  <c r="G57" i="6"/>
  <c r="F57" i="6"/>
  <c r="G56" i="6"/>
  <c r="F56"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G3" i="6"/>
  <c r="F3" i="6"/>
  <c r="D17" i="9"/>
  <c r="I28" i="5" l="1"/>
  <c r="D24" i="9"/>
  <c r="D26" i="9" s="1"/>
  <c r="D28" i="9" s="1"/>
  <c r="D31" i="9" s="1"/>
  <c r="I5" i="5"/>
  <c r="F8" i="5"/>
  <c r="I9" i="5"/>
  <c r="I10" i="5"/>
  <c r="I11" i="5"/>
  <c r="I16" i="5"/>
  <c r="I19" i="5"/>
  <c r="I20" i="5"/>
  <c r="I21" i="5"/>
</calcChain>
</file>

<file path=xl/sharedStrings.xml><?xml version="1.0" encoding="utf-8"?>
<sst xmlns="http://schemas.openxmlformats.org/spreadsheetml/2006/main" count="1555" uniqueCount="115">
  <si>
    <t>asdf</t>
  </si>
  <si>
    <t>Prepare a personal budget for one month. Be sure to think through your sources of income and expenses. Be as detailed as you wish; but include cells that calculate the following: Income (which calculates the sum of all income sources), Expenses (which calculates the sum of all expenses), and Savings (which calculates the difference between the total income and expenses).  After completing your budget, complete the tasks to create named ranges that reference the important cells outlined above.</t>
  </si>
  <si>
    <t>Insurance</t>
  </si>
  <si>
    <t>Total Expenses</t>
  </si>
  <si>
    <t>Plan Options</t>
  </si>
  <si>
    <t>Usage Summary</t>
  </si>
  <si>
    <t>Plan Costs</t>
  </si>
  <si>
    <t>Option 1 - Pay-as-you-go</t>
  </si>
  <si>
    <t>Calls</t>
  </si>
  <si>
    <t>Minute Charges</t>
  </si>
  <si>
    <t>Weekday Daytime Minutes</t>
  </si>
  <si>
    <t>Data Charges per Megabyte</t>
  </si>
  <si>
    <t>Evening &amp; Weekend Minutes</t>
  </si>
  <si>
    <t>Data Charges**</t>
  </si>
  <si>
    <t>Text Messages Included (no media)</t>
  </si>
  <si>
    <t>Total Minutes Used</t>
  </si>
  <si>
    <t>Text Message Charges</t>
  </si>
  <si>
    <t>Media Message Charges</t>
  </si>
  <si>
    <t>Data Used (gigabytes)</t>
  </si>
  <si>
    <t>Total Charges</t>
  </si>
  <si>
    <t>Option 2 - Rate Plan w/Overages</t>
  </si>
  <si>
    <t>Messaging</t>
  </si>
  <si>
    <t>Taxes and Fees (cell F15)</t>
  </si>
  <si>
    <t>Monthly Cost</t>
  </si>
  <si>
    <t>Text Messages Sent</t>
  </si>
  <si>
    <t>Total Bill</t>
  </si>
  <si>
    <t>Minutes Included*</t>
  </si>
  <si>
    <t>Media Messages Sent</t>
  </si>
  <si>
    <t>Data Included (gigabytes)</t>
  </si>
  <si>
    <t>Total Messages Sent</t>
  </si>
  <si>
    <t>Messages (any type) Included</t>
  </si>
  <si>
    <t>Over-minute Charges</t>
  </si>
  <si>
    <t>Cellular Tax/Fee Rate</t>
  </si>
  <si>
    <t>Over-minute Charges*</t>
  </si>
  <si>
    <t>Over-data Charges per megabyte</t>
  </si>
  <si>
    <t># Kilobytes in a Gigabyte**</t>
  </si>
  <si>
    <t>Over-data Charges**</t>
  </si>
  <si>
    <t>Over-message Charges per message</t>
  </si>
  <si>
    <t># Megabytes in a Gigabyte**</t>
  </si>
  <si>
    <t>Additional Message Charges</t>
  </si>
  <si>
    <t>Option 3 - Unlimited</t>
  </si>
  <si>
    <r>
      <rPr>
        <b/>
        <sz val="11"/>
        <color theme="1"/>
        <rFont val="Calibri"/>
        <family val="2"/>
        <scheme val="minor"/>
      </rPr>
      <t>** Note:</t>
    </r>
    <r>
      <rPr>
        <sz val="11"/>
        <color theme="1"/>
        <rFont val="Calibri"/>
        <family val="2"/>
        <scheme val="minor"/>
      </rPr>
      <t xml:space="preserve"> There are 1024 kilobytes in a megabyte and 1024 megabytes in a gigabyte. Therefore there are 1048576 kilobytes in a gigabyte (1024 x 1024).</t>
    </r>
  </si>
  <si>
    <t>Rate</t>
  </si>
  <si>
    <t>* Night and weekend minutes are free for Option 2</t>
  </si>
  <si>
    <t>You are planning to switch your cell phone provider and there are three options available to you. You could choose a pay-as-you-go plan, a traditional plan (which includes an allowance for minutes, data, and text and penalties for exceeding these allowances), and an unlimited plan. You want to evaluate which plan will be best for you. You have imported your calls, data usage, and text message usage from the last month with your previous provider into separate worksheets in the workbook (Calls, Data, and Messages, respectively) so that you can how much each plan would cost you based on your usage that month. Complete the tasks to compare your bill for each plan option.</t>
  </si>
  <si>
    <t>Day</t>
  </si>
  <si>
    <t>Date</t>
  </si>
  <si>
    <t>Time</t>
  </si>
  <si>
    <t>Minutes</t>
  </si>
  <si>
    <t>Weekday?</t>
  </si>
  <si>
    <t>Daytime?</t>
  </si>
  <si>
    <t>Weekday/Daytime?</t>
  </si>
  <si>
    <t>Time Charged</t>
  </si>
  <si>
    <t>Monday</t>
  </si>
  <si>
    <t>Tuesday</t>
  </si>
  <si>
    <t>Wednesday</t>
  </si>
  <si>
    <t>Thursday</t>
  </si>
  <si>
    <t>Friday</t>
  </si>
  <si>
    <t>Saturday</t>
  </si>
  <si>
    <t>Sunday</t>
  </si>
  <si>
    <t>Data Used (Kb)</t>
  </si>
  <si>
    <t>Type</t>
  </si>
  <si>
    <t>Text</t>
  </si>
  <si>
    <t>Media</t>
  </si>
  <si>
    <t>Cash Flow Budget Worksheet</t>
  </si>
  <si>
    <t>Monthly Interest Rate</t>
  </si>
  <si>
    <t xml:space="preserve">Complete the statement of cash flow for January through June by completing the tasks. As part of the process you will need to use a circular reference. You will need to set Excel to handle circular references. </t>
  </si>
  <si>
    <t>Line of Credit Needed</t>
  </si>
  <si>
    <t>December</t>
  </si>
  <si>
    <t>January</t>
  </si>
  <si>
    <t>February</t>
  </si>
  <si>
    <t>March</t>
  </si>
  <si>
    <t>April</t>
  </si>
  <si>
    <t>May</t>
  </si>
  <si>
    <t>June</t>
  </si>
  <si>
    <t>Beginning Cash Balance</t>
  </si>
  <si>
    <t>Cash Inflows (Income):</t>
  </si>
  <si>
    <t>Customer Payments</t>
  </si>
  <si>
    <t>Cash Sales</t>
  </si>
  <si>
    <t>Total Cash Inflows</t>
  </si>
  <si>
    <t>Cash Outflows (Expenses):</t>
  </si>
  <si>
    <t>Advertising</t>
  </si>
  <si>
    <t>Loan Interest</t>
  </si>
  <si>
    <t>Inventory Purchases</t>
  </si>
  <si>
    <t>Office Supplies</t>
  </si>
  <si>
    <t>Payroll</t>
  </si>
  <si>
    <t>Rent or Lease</t>
  </si>
  <si>
    <t>Utilities &amp; Telephone</t>
  </si>
  <si>
    <t>Cash Flows (Net):</t>
  </si>
  <si>
    <t>Shortfall/Surplus Cash</t>
  </si>
  <si>
    <t>$6000.00*</t>
  </si>
  <si>
    <t>Loan Calculatations</t>
  </si>
  <si>
    <t>Additional Cash Needed</t>
  </si>
  <si>
    <t>Cash Available to Retire Debt</t>
  </si>
  <si>
    <t>Cash Used to Retire Debt</t>
  </si>
  <si>
    <t>Loan Balance**</t>
  </si>
  <si>
    <t>Ending Cash Balance</t>
  </si>
  <si>
    <t>* Note: there was a loan balance of $1000 in November which was paid to $0 with the cash surplus in December. This is why the beginning cash value in January is $1000 less than the ending cash in December.</t>
  </si>
  <si>
    <t xml:space="preserve">** A loan taken out in any given month cannot be paid off in that month. The earliest a loan will be paid off will be the next month. </t>
  </si>
  <si>
    <t>Budget</t>
  </si>
  <si>
    <t>Cellular</t>
  </si>
  <si>
    <t>Data</t>
  </si>
  <si>
    <t>Messages</t>
  </si>
  <si>
    <t>CashFlow</t>
  </si>
  <si>
    <t>Income</t>
  </si>
  <si>
    <t>Expenses</t>
  </si>
  <si>
    <t>Rent</t>
  </si>
  <si>
    <t>Gas</t>
  </si>
  <si>
    <t>Groceries</t>
  </si>
  <si>
    <t xml:space="preserve">Gym Membership </t>
  </si>
  <si>
    <t>Extra</t>
  </si>
  <si>
    <t xml:space="preserve">Total Income </t>
  </si>
  <si>
    <t>Paycheck At Work</t>
  </si>
  <si>
    <t>Guitar Lessons</t>
  </si>
  <si>
    <t xml:space="preserve">Savings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</si>
</sst>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_(&quot;$&quot;* #,##0_);_(&quot;$&quot;* \(#,##0\);_(&quot;$&quot;* &quot;-&quot;??_);_(@_)"/>
    <numFmt numFmtId="165" formatCode="&quot;$&quot;#,##0.00"/>
    <numFmt numFmtId="166" formatCode="[$-F400]h:mm:ss\ AM/PM"/>
    <numFmt numFmtId="167" formatCode="&quot;$&quot;#,##0"/>
    <numFmt numFmtId="168" formatCode="0.0%"/>
  </numFmts>
  <fonts count="8" x14ac:knownFonts="1">
    <font>
      <sz val="11"/>
      <color theme="1"/>
      <name val="Calibri"/>
      <family val="2"/>
      <scheme val="minor"/>
    </font>
    <font>
      <sz val="11"/>
      <color theme="2" tint="-9.9978637043366805E-2"/>
      <name val="Calibri"/>
      <family val="2"/>
      <scheme val="minor"/>
    </font>
    <font>
      <sz val="11"/>
      <color theme="1"/>
      <name val="Calibri"/>
      <family val="2"/>
      <scheme val="minor"/>
    </font>
    <font>
      <b/>
      <sz val="11"/>
      <color theme="1"/>
      <name val="Calibri"/>
      <family val="2"/>
      <scheme val="minor"/>
    </font>
    <font>
      <b/>
      <sz val="15"/>
      <color theme="1"/>
      <name val="Calibri"/>
      <family val="2"/>
      <scheme val="minor"/>
    </font>
    <font>
      <b/>
      <i/>
      <sz val="16"/>
      <color theme="1"/>
      <name val="Calibri"/>
      <family val="2"/>
      <scheme val="minor"/>
    </font>
    <font>
      <b/>
      <sz val="14"/>
      <color theme="1"/>
      <name val="Calibri"/>
      <family val="2"/>
      <scheme val="minor"/>
    </font>
    <font>
      <sz val="9"/>
      <color rgb="FF302C41"/>
      <name val="Courier New"/>
      <family val="3"/>
    </font>
  </fonts>
  <fills count="6">
    <fill>
      <patternFill patternType="none"/>
    </fill>
    <fill>
      <patternFill patternType="gray125"/>
    </fill>
    <fill>
      <patternFill patternType="solid">
        <fgColor theme="0" tint="-0.14999847407452621"/>
        <bgColor indexed="64"/>
      </patternFill>
    </fill>
    <fill>
      <patternFill patternType="solid">
        <fgColor theme="0" tint="-0.14999847407452621"/>
        <bgColor rgb="FF00C68E"/>
      </patternFill>
    </fill>
    <fill>
      <patternFill patternType="solid">
        <fgColor theme="3" tint="0.59999389629810485"/>
        <bgColor rgb="FF0348C1"/>
      </patternFill>
    </fill>
    <fill>
      <patternFill patternType="solid">
        <fgColor theme="2"/>
        <bgColor rgb="FF0348C1"/>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0.24994659260841701"/>
      </left>
      <right style="medium">
        <color indexed="64"/>
      </right>
      <top style="thin">
        <color theme="0" tint="-0.24994659260841701"/>
      </top>
      <bottom style="medium">
        <color indexed="64"/>
      </bottom>
      <diagonal/>
    </border>
    <border>
      <left/>
      <right/>
      <top style="medium">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4" fontId="2" fillId="0" borderId="0" applyFont="0" applyFill="0" applyBorder="0" applyAlignment="0" applyProtection="0"/>
  </cellStyleXfs>
  <cellXfs count="107">
    <xf numFmtId="0" fontId="0" fillId="0" borderId="0" xfId="0"/>
    <xf numFmtId="0" fontId="1" fillId="2" borderId="0" xfId="0" applyFont="1" applyFill="1"/>
    <xf numFmtId="0" fontId="1" fillId="3" borderId="0" xfId="0" applyFont="1" applyFill="1"/>
    <xf numFmtId="0" fontId="0" fillId="0" borderId="0" xfId="0" applyAlignment="1">
      <alignment wrapText="1"/>
    </xf>
    <xf numFmtId="0" fontId="3" fillId="0" borderId="0" xfId="0" applyFont="1"/>
    <xf numFmtId="164" fontId="0" fillId="0" borderId="0" xfId="1" applyNumberFormat="1" applyFont="1"/>
    <xf numFmtId="0" fontId="0" fillId="0" borderId="0" xfId="0" quotePrefix="1"/>
    <xf numFmtId="164" fontId="0" fillId="0" borderId="0" xfId="0" applyNumberFormat="1"/>
    <xf numFmtId="2" fontId="0" fillId="0" borderId="0" xfId="0" applyNumberFormat="1"/>
    <xf numFmtId="0" fontId="3" fillId="0" borderId="4" xfId="0" applyFont="1" applyBorder="1" applyAlignment="1">
      <alignment horizontal="left"/>
    </xf>
    <xf numFmtId="0" fontId="3" fillId="0" borderId="5" xfId="0" applyFont="1" applyBorder="1" applyAlignment="1">
      <alignment horizontal="left"/>
    </xf>
    <xf numFmtId="0" fontId="3" fillId="0" borderId="5" xfId="0" applyFont="1" applyBorder="1" applyAlignment="1">
      <alignment horizontal="center"/>
    </xf>
    <xf numFmtId="0" fontId="3" fillId="0" borderId="11" xfId="0" applyFont="1" applyBorder="1" applyAlignment="1">
      <alignment horizontal="left"/>
    </xf>
    <xf numFmtId="0" fontId="0" fillId="0" borderId="12" xfId="0" applyBorder="1"/>
    <xf numFmtId="0" fontId="0" fillId="0" borderId="4" xfId="0" applyBorder="1"/>
    <xf numFmtId="165" fontId="0" fillId="0" borderId="5" xfId="1" applyNumberFormat="1" applyFont="1" applyBorder="1" applyAlignment="1">
      <alignment horizontal="center"/>
    </xf>
    <xf numFmtId="0" fontId="0" fillId="5" borderId="13" xfId="0" applyFill="1" applyBorder="1" applyAlignment="1">
      <alignment horizontal="center"/>
    </xf>
    <xf numFmtId="165" fontId="0" fillId="5" borderId="14" xfId="0" applyNumberFormat="1" applyFill="1" applyBorder="1" applyAlignment="1">
      <alignment horizontal="center"/>
    </xf>
    <xf numFmtId="1" fontId="0" fillId="5" borderId="13" xfId="0" applyNumberFormat="1" applyFill="1" applyBorder="1" applyAlignment="1">
      <alignment horizontal="center"/>
    </xf>
    <xf numFmtId="165" fontId="0" fillId="5" borderId="13" xfId="0" applyNumberFormat="1" applyFill="1" applyBorder="1" applyAlignment="1">
      <alignment horizontal="center"/>
    </xf>
    <xf numFmtId="0" fontId="0" fillId="0" borderId="5" xfId="0" applyBorder="1" applyAlignment="1">
      <alignment horizontal="center"/>
    </xf>
    <xf numFmtId="0" fontId="0" fillId="0" borderId="6" xfId="0" applyBorder="1"/>
    <xf numFmtId="165" fontId="0" fillId="0" borderId="8" xfId="1" applyNumberFormat="1" applyFont="1" applyBorder="1" applyAlignment="1">
      <alignment horizontal="center"/>
    </xf>
    <xf numFmtId="0" fontId="3" fillId="0" borderId="4" xfId="0" applyFont="1" applyBorder="1"/>
    <xf numFmtId="0" fontId="0" fillId="0" borderId="5" xfId="0" applyBorder="1"/>
    <xf numFmtId="0" fontId="3" fillId="0" borderId="15" xfId="0" applyFont="1" applyBorder="1" applyAlignment="1">
      <alignment horizontal="left"/>
    </xf>
    <xf numFmtId="0" fontId="3" fillId="0" borderId="16" xfId="0" applyFont="1" applyBorder="1" applyAlignment="1">
      <alignment horizontal="left"/>
    </xf>
    <xf numFmtId="0" fontId="3" fillId="0" borderId="6" xfId="0" applyFont="1" applyBorder="1"/>
    <xf numFmtId="165" fontId="0" fillId="5" borderId="17" xfId="0" applyNumberFormat="1" applyFill="1" applyBorder="1" applyAlignment="1">
      <alignment horizontal="center"/>
    </xf>
    <xf numFmtId="0" fontId="0" fillId="5" borderId="17" xfId="0" applyFill="1" applyBorder="1" applyAlignment="1">
      <alignment horizontal="center"/>
    </xf>
    <xf numFmtId="0" fontId="0" fillId="0" borderId="16" xfId="0" applyBorder="1"/>
    <xf numFmtId="9" fontId="0" fillId="0" borderId="0" xfId="0" applyNumberFormat="1" applyAlignment="1">
      <alignment horizontal="center"/>
    </xf>
    <xf numFmtId="0" fontId="0" fillId="0" borderId="0" xfId="0" applyAlignment="1">
      <alignment horizontal="center"/>
    </xf>
    <xf numFmtId="0" fontId="3" fillId="0" borderId="15" xfId="0" applyFont="1" applyBorder="1"/>
    <xf numFmtId="0" fontId="3" fillId="0" borderId="16" xfId="0" applyFont="1" applyBorder="1"/>
    <xf numFmtId="0" fontId="3" fillId="4" borderId="9" xfId="0" applyFont="1" applyFill="1" applyBorder="1" applyAlignment="1">
      <alignment horizontal="center"/>
    </xf>
    <xf numFmtId="0" fontId="3" fillId="4" borderId="18" xfId="0" applyFont="1" applyFill="1" applyBorder="1" applyAlignment="1">
      <alignment horizontal="center"/>
    </xf>
    <xf numFmtId="0" fontId="3" fillId="4" borderId="10" xfId="0" applyFont="1" applyFill="1" applyBorder="1" applyAlignment="1">
      <alignment horizontal="center"/>
    </xf>
    <xf numFmtId="16" fontId="0" fillId="0" borderId="0" xfId="0" applyNumberFormat="1"/>
    <xf numFmtId="166" fontId="0" fillId="0" borderId="0" xfId="0" applyNumberFormat="1"/>
    <xf numFmtId="0" fontId="0" fillId="5" borderId="19" xfId="0" applyFill="1" applyBorder="1" applyAlignment="1">
      <alignment horizontal="center"/>
    </xf>
    <xf numFmtId="2" fontId="0" fillId="5" borderId="14" xfId="0" applyNumberFormat="1" applyFill="1" applyBorder="1" applyAlignment="1">
      <alignment horizontal="center"/>
    </xf>
    <xf numFmtId="18" fontId="0" fillId="0" borderId="0" xfId="0" applyNumberFormat="1"/>
    <xf numFmtId="16" fontId="0" fillId="0" borderId="7" xfId="0" applyNumberFormat="1" applyBorder="1"/>
    <xf numFmtId="166" fontId="0" fillId="0" borderId="7" xfId="0" applyNumberFormat="1" applyBorder="1"/>
    <xf numFmtId="2" fontId="0" fillId="0" borderId="7" xfId="0" applyNumberFormat="1" applyBorder="1"/>
    <xf numFmtId="0" fontId="0" fillId="0" borderId="7" xfId="0" applyBorder="1" applyAlignment="1">
      <alignment horizontal="center"/>
    </xf>
    <xf numFmtId="46" fontId="0" fillId="0" borderId="0" xfId="0" applyNumberFormat="1"/>
    <xf numFmtId="20" fontId="0" fillId="0" borderId="0" xfId="0" applyNumberFormat="1"/>
    <xf numFmtId="16" fontId="0" fillId="0" borderId="4" xfId="0" applyNumberFormat="1" applyBorder="1" applyAlignment="1">
      <alignment horizontal="center"/>
    </xf>
    <xf numFmtId="20" fontId="0" fillId="0" borderId="0" xfId="0" applyNumberFormat="1" applyAlignment="1">
      <alignment horizontal="center"/>
    </xf>
    <xf numFmtId="16" fontId="0" fillId="0" borderId="6" xfId="0" applyNumberFormat="1" applyBorder="1" applyAlignment="1">
      <alignment horizontal="center"/>
    </xf>
    <xf numFmtId="20" fontId="0" fillId="0" borderId="7" xfId="0" applyNumberFormat="1" applyBorder="1" applyAlignment="1">
      <alignment horizontal="center"/>
    </xf>
    <xf numFmtId="0" fontId="0" fillId="0" borderId="8" xfId="0" applyBorder="1" applyAlignment="1">
      <alignment horizontal="center"/>
    </xf>
    <xf numFmtId="16" fontId="0" fillId="0" borderId="4" xfId="0" applyNumberFormat="1" applyBorder="1"/>
    <xf numFmtId="16" fontId="0" fillId="0" borderId="6" xfId="0" applyNumberFormat="1" applyBorder="1"/>
    <xf numFmtId="20" fontId="0" fillId="0" borderId="7" xfId="0" applyNumberFormat="1" applyBorder="1"/>
    <xf numFmtId="167" fontId="0" fillId="0" borderId="0" xfId="0" applyNumberFormat="1"/>
    <xf numFmtId="168" fontId="0" fillId="0" borderId="0" xfId="0" applyNumberFormat="1" applyAlignment="1">
      <alignment horizontal="center"/>
    </xf>
    <xf numFmtId="165" fontId="3" fillId="0" borderId="0" xfId="0" applyNumberFormat="1" applyFont="1" applyAlignment="1">
      <alignment horizontal="center"/>
    </xf>
    <xf numFmtId="165" fontId="0" fillId="5" borderId="21" xfId="0" applyNumberFormat="1" applyFill="1" applyBorder="1" applyAlignment="1">
      <alignment horizontal="center"/>
    </xf>
    <xf numFmtId="0" fontId="3" fillId="0" borderId="0" xfId="0" applyFont="1" applyAlignment="1">
      <alignment horizontal="center"/>
    </xf>
    <xf numFmtId="0" fontId="6" fillId="0" borderId="4" xfId="0" applyFont="1" applyBorder="1"/>
    <xf numFmtId="165" fontId="0" fillId="0" borderId="0" xfId="0" applyNumberFormat="1" applyAlignment="1">
      <alignment horizontal="center"/>
    </xf>
    <xf numFmtId="0" fontId="6" fillId="0" borderId="6" xfId="0" applyFont="1" applyBorder="1"/>
    <xf numFmtId="165" fontId="0" fillId="0" borderId="7" xfId="0" applyNumberFormat="1" applyBorder="1" applyAlignment="1">
      <alignment horizontal="center"/>
    </xf>
    <xf numFmtId="165" fontId="0" fillId="5" borderId="20" xfId="0" applyNumberFormat="1" applyFill="1" applyBorder="1" applyAlignment="1">
      <alignment horizontal="center"/>
    </xf>
    <xf numFmtId="0" fontId="0" fillId="0" borderId="8" xfId="0" applyBorder="1"/>
    <xf numFmtId="165" fontId="0" fillId="0" borderId="0" xfId="0" applyNumberFormat="1"/>
    <xf numFmtId="44" fontId="0" fillId="0" borderId="0" xfId="1" applyFont="1"/>
    <xf numFmtId="0" fontId="7" fillId="0" borderId="0" xfId="0" applyFont="1"/>
    <xf numFmtId="44" fontId="0" fillId="5" borderId="13" xfId="1" applyFont="1" applyFill="1" applyBorder="1" applyAlignment="1">
      <alignment horizontal="center"/>
    </xf>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0" xfId="0"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4" xfId="0"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4" fillId="4" borderId="9" xfId="0" applyFont="1" applyFill="1" applyBorder="1" applyAlignment="1">
      <alignment horizontal="center"/>
    </xf>
    <xf numFmtId="0" fontId="4" fillId="4" borderId="10" xfId="0" applyFont="1" applyFill="1"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18" xfId="0" applyBorder="1" applyAlignment="1">
      <alignment horizontal="center"/>
    </xf>
    <xf numFmtId="0" fontId="0" fillId="0" borderId="25" xfId="0" applyBorder="1" applyAlignment="1">
      <alignment horizontal="left" wrapText="1"/>
    </xf>
    <xf numFmtId="0" fontId="0" fillId="0" borderId="26" xfId="0" applyBorder="1" applyAlignment="1">
      <alignment horizontal="left" wrapText="1"/>
    </xf>
    <xf numFmtId="0" fontId="0" fillId="0" borderId="27" xfId="0" applyBorder="1" applyAlignment="1">
      <alignment horizontal="left" wrapText="1"/>
    </xf>
    <xf numFmtId="0" fontId="0" fillId="0" borderId="28" xfId="0" applyBorder="1" applyAlignment="1">
      <alignment horizontal="left" wrapText="1"/>
    </xf>
    <xf numFmtId="0" fontId="0" fillId="0" borderId="29" xfId="0" applyBorder="1" applyAlignment="1">
      <alignment horizontal="left" wrapText="1"/>
    </xf>
    <xf numFmtId="0" fontId="0" fillId="0" borderId="30" xfId="0" applyBorder="1" applyAlignment="1">
      <alignment horizontal="left"/>
    </xf>
    <xf numFmtId="0" fontId="0" fillId="0" borderId="31" xfId="0" applyBorder="1" applyAlignment="1">
      <alignment horizontal="left"/>
    </xf>
    <xf numFmtId="0" fontId="0" fillId="0" borderId="32" xfId="0" applyBorder="1" applyAlignment="1">
      <alignment horizontal="left"/>
    </xf>
    <xf numFmtId="165" fontId="0" fillId="0" borderId="0" xfId="0" applyNumberFormat="1" applyAlignment="1">
      <alignment horizontal="center"/>
    </xf>
    <xf numFmtId="165" fontId="0" fillId="0" borderId="23" xfId="0" applyNumberFormat="1"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165" fontId="0" fillId="0" borderId="22" xfId="0" applyNumberFormat="1" applyBorder="1" applyAlignment="1">
      <alignment horizontal="center"/>
    </xf>
    <xf numFmtId="0" fontId="5" fillId="4" borderId="9" xfId="0" applyFont="1" applyFill="1" applyBorder="1" applyAlignment="1">
      <alignment horizontal="center"/>
    </xf>
    <xf numFmtId="0" fontId="5" fillId="4" borderId="18" xfId="0" applyFont="1" applyFill="1" applyBorder="1" applyAlignment="1">
      <alignment horizontal="center"/>
    </xf>
    <xf numFmtId="0" fontId="5" fillId="4" borderId="10" xfId="0" applyFont="1" applyFill="1" applyBorder="1" applyAlignment="1">
      <alignment horizontal="center"/>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171451</xdr:colOff>
      <xdr:row>1</xdr:row>
      <xdr:rowOff>19049</xdr:rowOff>
    </xdr:from>
    <xdr:to>
      <xdr:col>8</xdr:col>
      <xdr:colOff>257175</xdr:colOff>
      <xdr:row>49</xdr:row>
      <xdr:rowOff>76200</xdr:rowOff>
    </xdr:to>
    <xdr:sp macro="" textlink="">
      <xdr:nvSpPr>
        <xdr:cNvPr id="2" name="txtEnableMacros">
          <a:extLst>
            <a:ext uri="{FF2B5EF4-FFF2-40B4-BE49-F238E27FC236}">
              <a16:creationId xmlns:a16="http://schemas.microsoft.com/office/drawing/2014/main" id="{7C138F24-7592-40A5-A148-1B4F8521613E}"/>
            </a:ext>
          </a:extLst>
        </xdr:cNvPr>
        <xdr:cNvSpPr txBox="1"/>
      </xdr:nvSpPr>
      <xdr:spPr>
        <a:xfrm>
          <a:off x="171451" y="209549"/>
          <a:ext cx="4962524" cy="920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Enable Macros to Begin</a:t>
          </a:r>
          <a:r>
            <a:rPr lang="en-US" sz="2400" b="1" baseline="0"/>
            <a:t> Assignment</a:t>
          </a:r>
          <a:endParaRPr lang="en-US" sz="2400" b="1"/>
        </a:p>
        <a:p>
          <a:endParaRPr lang="en-US" sz="1100"/>
        </a:p>
        <a:p>
          <a:r>
            <a:rPr lang="en-US" sz="1100"/>
            <a:t>This assignment file</a:t>
          </a:r>
          <a:r>
            <a:rPr lang="en-US" sz="1100" baseline="0"/>
            <a:t> relies on a set of macros to handle submission and scoring.  Before you may begin the assignment, </a:t>
          </a:r>
          <a:r>
            <a:rPr lang="en-US" sz="1100" b="1" baseline="0"/>
            <a:t>you must enable macros</a:t>
          </a:r>
          <a:r>
            <a:rPr lang="en-US" sz="1100" baseline="0"/>
            <a:t> in this workbook.  Depending the version of Excel and the security settings, you may see a prompt similar to those below</a:t>
          </a:r>
          <a:r>
            <a:rPr lang="en-US" sz="1100" b="1" baseline="0"/>
            <a:t>.  If you have already dismissed the prompt, you may need to close this workbook and open it again</a:t>
          </a:r>
          <a:r>
            <a:rPr lang="en-US" sz="1100" baseline="0"/>
            <a:t>.</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oneCellAnchor>
    <xdr:from>
      <xdr:col>0</xdr:col>
      <xdr:colOff>495300</xdr:colOff>
      <xdr:row>9</xdr:row>
      <xdr:rowOff>133350</xdr:rowOff>
    </xdr:from>
    <xdr:ext cx="4248150" cy="1990725"/>
    <xdr:pic>
      <xdr:nvPicPr>
        <xdr:cNvPr id="3" name="Picture 2">
          <a:extLst>
            <a:ext uri="{FF2B5EF4-FFF2-40B4-BE49-F238E27FC236}">
              <a16:creationId xmlns:a16="http://schemas.microsoft.com/office/drawing/2014/main" id="{CE8A580E-DC09-429A-8FCF-AE30F86FB8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847850"/>
          <a:ext cx="4248150" cy="1990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152400</xdr:colOff>
      <xdr:row>22</xdr:row>
      <xdr:rowOff>19050</xdr:rowOff>
    </xdr:from>
    <xdr:ext cx="3648075" cy="2733675"/>
    <xdr:pic>
      <xdr:nvPicPr>
        <xdr:cNvPr id="4" name="Picture 3">
          <a:extLst>
            <a:ext uri="{FF2B5EF4-FFF2-40B4-BE49-F238E27FC236}">
              <a16:creationId xmlns:a16="http://schemas.microsoft.com/office/drawing/2014/main" id="{F23FA09D-9FF8-429E-8343-EAE4B9CE0F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000" y="4210050"/>
          <a:ext cx="3648075" cy="27336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466725</xdr:colOff>
      <xdr:row>38</xdr:row>
      <xdr:rowOff>114300</xdr:rowOff>
    </xdr:from>
    <xdr:ext cx="4479243" cy="1714500"/>
    <xdr:pic>
      <xdr:nvPicPr>
        <xdr:cNvPr id="5" name="Picture 1" descr="https://mail.google.com/mail/u/0/?ui=2&amp;ik=9cda7b32dd&amp;view=att&amp;th=1488f14f26710943&amp;attid=0.1&amp;disp=emb&amp;zw&amp;atsh=1">
          <a:extLst>
            <a:ext uri="{FF2B5EF4-FFF2-40B4-BE49-F238E27FC236}">
              <a16:creationId xmlns:a16="http://schemas.microsoft.com/office/drawing/2014/main" id="{189CA7A2-E7CD-4A70-8FE6-FCD8B94A63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6725" y="7353300"/>
          <a:ext cx="4479243" cy="1714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171451</xdr:colOff>
      <xdr:row>1</xdr:row>
      <xdr:rowOff>28575</xdr:rowOff>
    </xdr:from>
    <xdr:to>
      <xdr:col>8</xdr:col>
      <xdr:colOff>257175</xdr:colOff>
      <xdr:row>7</xdr:row>
      <xdr:rowOff>95251</xdr:rowOff>
    </xdr:to>
    <xdr:sp macro="" textlink="">
      <xdr:nvSpPr>
        <xdr:cNvPr id="6" name="txtExamOff" hidden="1">
          <a:extLst>
            <a:ext uri="{FF2B5EF4-FFF2-40B4-BE49-F238E27FC236}">
              <a16:creationId xmlns:a16="http://schemas.microsoft.com/office/drawing/2014/main" id="{D45D645B-4332-4D2E-A00D-E7E0367E2CEA}"/>
            </a:ext>
          </a:extLst>
        </xdr:cNvPr>
        <xdr:cNvSpPr txBox="1"/>
      </xdr:nvSpPr>
      <xdr:spPr>
        <a:xfrm>
          <a:off x="171451" y="219075"/>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This assignment is not</a:t>
          </a:r>
          <a:r>
            <a:rPr lang="en-US" sz="1100" baseline="0"/>
            <a:t> currently available.  Please contact your instructor for further information.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152400</xdr:colOff>
      <xdr:row>1</xdr:row>
      <xdr:rowOff>19050</xdr:rowOff>
    </xdr:from>
    <xdr:to>
      <xdr:col>8</xdr:col>
      <xdr:colOff>238124</xdr:colOff>
      <xdr:row>7</xdr:row>
      <xdr:rowOff>85726</xdr:rowOff>
    </xdr:to>
    <xdr:sp macro="" textlink="">
      <xdr:nvSpPr>
        <xdr:cNvPr id="7" name="txtInternet" hidden="1">
          <a:extLst>
            <a:ext uri="{FF2B5EF4-FFF2-40B4-BE49-F238E27FC236}">
              <a16:creationId xmlns:a16="http://schemas.microsoft.com/office/drawing/2014/main" id="{194B4CDE-B773-4392-BA83-60658832F102}"/>
            </a:ext>
          </a:extLst>
        </xdr:cNvPr>
        <xdr:cNvSpPr txBox="1"/>
      </xdr:nvSpPr>
      <xdr:spPr>
        <a:xfrm>
          <a:off x="152400" y="20955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Unable to Begin</a:t>
          </a:r>
          <a:r>
            <a:rPr lang="en-US" sz="2400" b="1" baseline="0"/>
            <a:t> Assignment</a:t>
          </a:r>
          <a:endParaRPr lang="en-US" sz="2400" b="1"/>
        </a:p>
        <a:p>
          <a:endParaRPr lang="en-US" sz="1100"/>
        </a:p>
        <a:p>
          <a:r>
            <a:rPr lang="en-US" sz="1100"/>
            <a:t>To begin</a:t>
          </a:r>
          <a:r>
            <a:rPr lang="en-US" sz="1100" baseline="0"/>
            <a:t> this assignment, this workbooks needs to verify that the assessment is currently open.  You must have an active internet connection to enable this verification.</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8</xdr:col>
      <xdr:colOff>266700</xdr:colOff>
      <xdr:row>7</xdr:row>
      <xdr:rowOff>104776</xdr:rowOff>
    </xdr:to>
    <xdr:sp macro="" textlink="">
      <xdr:nvSpPr>
        <xdr:cNvPr id="8" name="txtWait" hidden="1">
          <a:extLst>
            <a:ext uri="{FF2B5EF4-FFF2-40B4-BE49-F238E27FC236}">
              <a16:creationId xmlns:a16="http://schemas.microsoft.com/office/drawing/2014/main" id="{050EA5F4-6C9E-40E2-BA0D-06E5F5C4E7B5}"/>
            </a:ext>
          </a:extLst>
        </xdr:cNvPr>
        <xdr:cNvSpPr txBox="1"/>
      </xdr:nvSpPr>
      <xdr:spPr>
        <a:xfrm>
          <a:off x="180976" y="228600"/>
          <a:ext cx="4962524"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2400" b="1"/>
        </a:p>
        <a:p>
          <a:pPr algn="ctr"/>
          <a:r>
            <a:rPr lang="en-US" sz="2400" b="1"/>
            <a:t>Please</a:t>
          </a:r>
          <a:r>
            <a:rPr lang="en-US" sz="2400" b="1" baseline="0"/>
            <a:t> wait, exam initializing.</a:t>
          </a:r>
          <a:endParaRPr lang="en-US" sz="2400" b="1"/>
        </a:p>
        <a:p>
          <a:endParaRPr lang="en-US" sz="110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twoCellAnchor>
    <xdr:from>
      <xdr:col>0</xdr:col>
      <xdr:colOff>180976</xdr:colOff>
      <xdr:row>1</xdr:row>
      <xdr:rowOff>38100</xdr:rowOff>
    </xdr:from>
    <xdr:to>
      <xdr:col>9</xdr:col>
      <xdr:colOff>371476</xdr:colOff>
      <xdr:row>7</xdr:row>
      <xdr:rowOff>104776</xdr:rowOff>
    </xdr:to>
    <xdr:sp macro="" textlink="">
      <xdr:nvSpPr>
        <xdr:cNvPr id="9" name="txtExamOn" hidden="1" title="off">
          <a:extLst>
            <a:ext uri="{FF2B5EF4-FFF2-40B4-BE49-F238E27FC236}">
              <a16:creationId xmlns:a16="http://schemas.microsoft.com/office/drawing/2014/main" id="{9697B09C-AA84-4BCA-8B7B-62963FD3D0C8}"/>
            </a:ext>
          </a:extLst>
        </xdr:cNvPr>
        <xdr:cNvSpPr txBox="1"/>
      </xdr:nvSpPr>
      <xdr:spPr>
        <a:xfrm>
          <a:off x="180976" y="228600"/>
          <a:ext cx="5676900" cy="1209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baseline="0"/>
            <a:t>Assignment is Active</a:t>
          </a:r>
          <a:endParaRPr lang="en-US" sz="2400" b="1"/>
        </a:p>
        <a:p>
          <a:endParaRPr lang="en-US" sz="1100"/>
        </a:p>
        <a:p>
          <a:r>
            <a:rPr lang="en-US" sz="1100"/>
            <a:t>You may begin work</a:t>
          </a:r>
          <a:r>
            <a:rPr lang="en-US" sz="1100" baseline="0"/>
            <a:t> on the assignment now.  Actually, you should not be seeing this message.  If everything worked correclty, this will be invisible and the worksheets with the assignment will be showing.</a:t>
          </a:r>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enableMacros"/>
  <dimension ref="A1:B7"/>
  <sheetViews>
    <sheetView workbookViewId="0">
      <selection activeCell="B3" sqref="B3"/>
    </sheetView>
  </sheetViews>
  <sheetFormatPr defaultColWidth="9.140625" defaultRowHeight="15" x14ac:dyDescent="0.25"/>
  <cols>
    <col min="1" max="16384" width="9.140625" style="1"/>
  </cols>
  <sheetData>
    <row r="1" spans="1:2" x14ac:dyDescent="0.25">
      <c r="A1" s="1" t="s">
        <v>0</v>
      </c>
    </row>
    <row r="2" spans="1:2" x14ac:dyDescent="0.25">
      <c r="B2" s="2" t="s">
        <v>99</v>
      </c>
    </row>
    <row r="3" spans="1:2" x14ac:dyDescent="0.25">
      <c r="B3" s="2" t="s">
        <v>100</v>
      </c>
    </row>
    <row r="4" spans="1:2" x14ac:dyDescent="0.25">
      <c r="B4" s="2" t="s">
        <v>8</v>
      </c>
    </row>
    <row r="5" spans="1:2" x14ac:dyDescent="0.25">
      <c r="B5" s="2" t="s">
        <v>101</v>
      </c>
    </row>
    <row r="6" spans="1:2" x14ac:dyDescent="0.25">
      <c r="B6" s="2" t="s">
        <v>102</v>
      </c>
    </row>
    <row r="7" spans="1:2" x14ac:dyDescent="0.25">
      <c r="B7" s="2" t="s">
        <v>103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71359-12C2-4F4F-B965-3317B1C20730}">
  <sheetPr codeName="Sheet2"/>
  <dimension ref="B1:K26"/>
  <sheetViews>
    <sheetView topLeftCell="A8" workbookViewId="0">
      <selection activeCell="C22" sqref="C22"/>
    </sheetView>
  </sheetViews>
  <sheetFormatPr defaultColWidth="8.85546875" defaultRowHeight="15" x14ac:dyDescent="0.25"/>
  <cols>
    <col min="2" max="2" width="17.42578125" bestFit="1" customWidth="1"/>
    <col min="3" max="3" width="10.42578125" bestFit="1" customWidth="1"/>
  </cols>
  <sheetData>
    <row r="1" spans="2:11" ht="15.75" thickBot="1" x14ac:dyDescent="0.3"/>
    <row r="2" spans="2:11" ht="15" customHeight="1" x14ac:dyDescent="0.25">
      <c r="B2" s="72" t="s">
        <v>1</v>
      </c>
      <c r="C2" s="73"/>
      <c r="D2" s="73"/>
      <c r="E2" s="73"/>
      <c r="F2" s="73"/>
      <c r="G2" s="73"/>
      <c r="H2" s="73"/>
      <c r="I2" s="73"/>
      <c r="J2" s="74"/>
    </row>
    <row r="3" spans="2:11" x14ac:dyDescent="0.25">
      <c r="B3" s="75"/>
      <c r="C3" s="76"/>
      <c r="D3" s="76"/>
      <c r="E3" s="76"/>
      <c r="F3" s="76"/>
      <c r="G3" s="76"/>
      <c r="H3" s="76"/>
      <c r="I3" s="76"/>
      <c r="J3" s="77"/>
    </row>
    <row r="4" spans="2:11" x14ac:dyDescent="0.25">
      <c r="B4" s="75"/>
      <c r="C4" s="76"/>
      <c r="D4" s="76"/>
      <c r="E4" s="76"/>
      <c r="F4" s="76"/>
      <c r="G4" s="76"/>
      <c r="H4" s="76"/>
      <c r="I4" s="76"/>
      <c r="J4" s="77"/>
    </row>
    <row r="5" spans="2:11" x14ac:dyDescent="0.25">
      <c r="B5" s="75"/>
      <c r="C5" s="76"/>
      <c r="D5" s="76"/>
      <c r="E5" s="76"/>
      <c r="F5" s="76"/>
      <c r="G5" s="76"/>
      <c r="H5" s="76"/>
      <c r="I5" s="76"/>
      <c r="J5" s="77"/>
    </row>
    <row r="6" spans="2:11" x14ac:dyDescent="0.25">
      <c r="B6" s="75"/>
      <c r="C6" s="76"/>
      <c r="D6" s="76"/>
      <c r="E6" s="76"/>
      <c r="F6" s="76"/>
      <c r="G6" s="76"/>
      <c r="H6" s="76"/>
      <c r="I6" s="76"/>
      <c r="J6" s="77"/>
    </row>
    <row r="7" spans="2:11" ht="15.75" thickBot="1" x14ac:dyDescent="0.3">
      <c r="B7" s="78"/>
      <c r="C7" s="79"/>
      <c r="D7" s="79"/>
      <c r="E7" s="79"/>
      <c r="F7" s="79"/>
      <c r="G7" s="79"/>
      <c r="H7" s="79"/>
      <c r="I7" s="79"/>
      <c r="J7" s="80"/>
    </row>
    <row r="8" spans="2:11" x14ac:dyDescent="0.25">
      <c r="B8" s="3"/>
      <c r="C8" s="3"/>
      <c r="D8" s="3"/>
      <c r="E8" s="3"/>
      <c r="F8" s="3"/>
      <c r="G8" s="3"/>
      <c r="H8" s="3"/>
      <c r="I8" s="3"/>
      <c r="J8" s="3"/>
    </row>
    <row r="9" spans="2:11" x14ac:dyDescent="0.25">
      <c r="B9" s="4" t="s">
        <v>104</v>
      </c>
    </row>
    <row r="10" spans="2:11" x14ac:dyDescent="0.25">
      <c r="B10" s="4" t="s">
        <v>113</v>
      </c>
      <c r="C10" s="69">
        <v>300</v>
      </c>
    </row>
    <row r="11" spans="2:11" x14ac:dyDescent="0.25">
      <c r="B11" s="4" t="s">
        <v>112</v>
      </c>
      <c r="C11" s="69">
        <v>2000</v>
      </c>
    </row>
    <row r="12" spans="2:11" x14ac:dyDescent="0.25">
      <c r="B12" s="4" t="s">
        <v>111</v>
      </c>
      <c r="C12" s="69">
        <f>SUM(Income)</f>
        <v>2300</v>
      </c>
    </row>
    <row r="13" spans="2:11" x14ac:dyDescent="0.25">
      <c r="C13" s="5"/>
    </row>
    <row r="14" spans="2:11" x14ac:dyDescent="0.25">
      <c r="B14" s="4" t="s">
        <v>105</v>
      </c>
      <c r="C14" s="5"/>
      <c r="K14" s="6"/>
    </row>
    <row r="15" spans="2:11" x14ac:dyDescent="0.25">
      <c r="B15" s="4" t="s">
        <v>106</v>
      </c>
      <c r="C15" s="69">
        <v>300</v>
      </c>
    </row>
    <row r="16" spans="2:11" x14ac:dyDescent="0.25">
      <c r="B16" s="4" t="s">
        <v>107</v>
      </c>
      <c r="C16" s="69">
        <v>100</v>
      </c>
    </row>
    <row r="17" spans="2:3" x14ac:dyDescent="0.25">
      <c r="B17" s="4" t="s">
        <v>108</v>
      </c>
      <c r="C17" s="69">
        <v>200</v>
      </c>
    </row>
    <row r="18" spans="2:3" x14ac:dyDescent="0.25">
      <c r="B18" s="4" t="s">
        <v>109</v>
      </c>
      <c r="C18" s="69">
        <v>80</v>
      </c>
    </row>
    <row r="19" spans="2:3" x14ac:dyDescent="0.25">
      <c r="B19" s="4" t="s">
        <v>110</v>
      </c>
      <c r="C19" s="69">
        <v>200</v>
      </c>
    </row>
    <row r="20" spans="2:3" x14ac:dyDescent="0.25">
      <c r="B20" s="4" t="s">
        <v>3</v>
      </c>
      <c r="C20" s="69">
        <f>SUM(Expenses)</f>
        <v>880</v>
      </c>
    </row>
    <row r="21" spans="2:3" x14ac:dyDescent="0.25">
      <c r="C21" s="69"/>
    </row>
    <row r="22" spans="2:3" x14ac:dyDescent="0.25">
      <c r="B22" s="4" t="s">
        <v>114</v>
      </c>
      <c r="C22" s="69">
        <f>(Total_Income-Total_Expenses)</f>
        <v>1420</v>
      </c>
    </row>
    <row r="23" spans="2:3" x14ac:dyDescent="0.25">
      <c r="C23" s="5"/>
    </row>
    <row r="24" spans="2:3" x14ac:dyDescent="0.25">
      <c r="B24" s="4"/>
      <c r="C24" s="7"/>
    </row>
    <row r="26" spans="2:3" x14ac:dyDescent="0.25">
      <c r="B26" s="4"/>
      <c r="C26" s="5"/>
    </row>
  </sheetData>
  <mergeCells count="1">
    <mergeCell ref="B2:J7"/>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5863F-966B-478F-B34D-A6F659CFB5DE}">
  <sheetPr codeName="Sheet5"/>
  <dimension ref="A1:I30"/>
  <sheetViews>
    <sheetView tabSelected="1" topLeftCell="B1" workbookViewId="0">
      <selection activeCell="I28" sqref="I28"/>
    </sheetView>
  </sheetViews>
  <sheetFormatPr defaultColWidth="8.85546875" defaultRowHeight="15" x14ac:dyDescent="0.25"/>
  <cols>
    <col min="2" max="2" width="32.85546875" bestFit="1" customWidth="1"/>
    <col min="3" max="3" width="11.42578125" bestFit="1" customWidth="1"/>
    <col min="4" max="4" width="10.140625" bestFit="1" customWidth="1"/>
    <col min="5" max="5" width="27.140625" bestFit="1" customWidth="1"/>
    <col min="6" max="6" width="10" bestFit="1" customWidth="1"/>
    <col min="8" max="8" width="26.42578125" bestFit="1" customWidth="1"/>
    <col min="11" max="11" width="20" bestFit="1" customWidth="1"/>
  </cols>
  <sheetData>
    <row r="1" spans="1:9" ht="15.75" thickBot="1" x14ac:dyDescent="0.3">
      <c r="A1" s="8"/>
    </row>
    <row r="2" spans="1:9" ht="19.5" x14ac:dyDescent="0.3">
      <c r="B2" s="84" t="s">
        <v>4</v>
      </c>
      <c r="C2" s="85"/>
      <c r="E2" s="84" t="s">
        <v>5</v>
      </c>
      <c r="F2" s="85"/>
      <c r="H2" s="84" t="s">
        <v>6</v>
      </c>
      <c r="I2" s="85"/>
    </row>
    <row r="3" spans="1:9" x14ac:dyDescent="0.25">
      <c r="B3" s="9" t="s">
        <v>7</v>
      </c>
      <c r="C3" s="10"/>
      <c r="E3" s="9" t="s">
        <v>8</v>
      </c>
      <c r="F3" s="11"/>
      <c r="H3" s="12" t="s">
        <v>7</v>
      </c>
      <c r="I3" s="13"/>
    </row>
    <row r="4" spans="1:9" x14ac:dyDescent="0.25">
      <c r="B4" s="14" t="s">
        <v>9</v>
      </c>
      <c r="C4" s="15">
        <v>0.05</v>
      </c>
      <c r="E4" s="14" t="s">
        <v>10</v>
      </c>
      <c r="F4" s="70">
        <f>SUMIF(Calls!H3:H554,"yes",Calls!I3:I554)</f>
        <v>947</v>
      </c>
      <c r="H4" s="14" t="s">
        <v>9</v>
      </c>
      <c r="I4" s="17">
        <f>F6*C4</f>
        <v>85.300000000000011</v>
      </c>
    </row>
    <row r="5" spans="1:9" x14ac:dyDescent="0.25">
      <c r="B5" s="14" t="s">
        <v>11</v>
      </c>
      <c r="C5" s="15">
        <v>0.03</v>
      </c>
      <c r="E5" s="14" t="s">
        <v>12</v>
      </c>
      <c r="F5" s="70">
        <f>SUMIF(Calls!H3:H554,"no",Calls!I3:I554)</f>
        <v>759</v>
      </c>
      <c r="H5" s="14" t="s">
        <v>13</v>
      </c>
      <c r="I5" s="19">
        <f ca="1">F8*C5</f>
        <v>0.31715586955869562</v>
      </c>
    </row>
    <row r="6" spans="1:9" x14ac:dyDescent="0.25">
      <c r="B6" s="14" t="s">
        <v>14</v>
      </c>
      <c r="C6" s="20">
        <v>500</v>
      </c>
      <c r="E6" s="14" t="s">
        <v>15</v>
      </c>
      <c r="F6" s="18">
        <f>SUM(Calls!I3:I554)</f>
        <v>1706</v>
      </c>
      <c r="H6" s="14" t="s">
        <v>16</v>
      </c>
      <c r="I6" s="71">
        <f>F11-C6</f>
        <v>198</v>
      </c>
    </row>
    <row r="7" spans="1:9" x14ac:dyDescent="0.25">
      <c r="B7" s="14" t="s">
        <v>16</v>
      </c>
      <c r="C7" s="15">
        <v>0.05</v>
      </c>
      <c r="E7" s="81"/>
      <c r="F7" s="82"/>
      <c r="H7" s="14" t="s">
        <v>17</v>
      </c>
      <c r="I7" s="19">
        <f>F12*C8</f>
        <v>17.900000000000002</v>
      </c>
    </row>
    <row r="8" spans="1:9" ht="15.75" thickBot="1" x14ac:dyDescent="0.3">
      <c r="B8" s="21" t="s">
        <v>17</v>
      </c>
      <c r="C8" s="22">
        <v>0.1</v>
      </c>
      <c r="E8" s="23" t="s">
        <v>18</v>
      </c>
      <c r="F8" s="16">
        <f ca="1">SUM(Cellular!B3:F766)/100000</f>
        <v>10.571862318623188</v>
      </c>
      <c r="H8" s="81"/>
      <c r="I8" s="82"/>
    </row>
    <row r="9" spans="1:9" x14ac:dyDescent="0.25">
      <c r="B9" s="14"/>
      <c r="C9" s="24"/>
      <c r="E9" s="81"/>
      <c r="F9" s="82"/>
      <c r="H9" s="14" t="s">
        <v>19</v>
      </c>
      <c r="I9" s="19">
        <f ca="1">SUM(I4:I7)</f>
        <v>301.51715586955868</v>
      </c>
    </row>
    <row r="10" spans="1:9" x14ac:dyDescent="0.25">
      <c r="B10" s="25" t="s">
        <v>20</v>
      </c>
      <c r="C10" s="26"/>
      <c r="E10" s="9" t="s">
        <v>21</v>
      </c>
      <c r="F10" s="24"/>
      <c r="H10" s="14" t="s">
        <v>22</v>
      </c>
      <c r="I10" s="19">
        <f ca="1">I9*F15</f>
        <v>54.273088056520557</v>
      </c>
    </row>
    <row r="11" spans="1:9" ht="15.75" thickBot="1" x14ac:dyDescent="0.3">
      <c r="B11" s="14" t="s">
        <v>23</v>
      </c>
      <c r="C11" s="15">
        <v>89</v>
      </c>
      <c r="E11" s="14" t="s">
        <v>24</v>
      </c>
      <c r="F11" s="16">
        <f>COUNTIF(Messages!D3:D879,"Text" )</f>
        <v>698</v>
      </c>
      <c r="H11" s="27" t="s">
        <v>25</v>
      </c>
      <c r="I11" s="28">
        <f ca="1">I9+I10</f>
        <v>355.79024392607926</v>
      </c>
    </row>
    <row r="12" spans="1:9" x14ac:dyDescent="0.25">
      <c r="B12" s="14" t="s">
        <v>26</v>
      </c>
      <c r="C12" s="20">
        <v>700</v>
      </c>
      <c r="E12" s="14" t="s">
        <v>27</v>
      </c>
      <c r="F12" s="16">
        <f>COUNTIF(Messages!D3:D879,"Media" )</f>
        <v>179</v>
      </c>
      <c r="H12" s="86"/>
      <c r="I12" s="87"/>
    </row>
    <row r="13" spans="1:9" ht="15.75" thickBot="1" x14ac:dyDescent="0.3">
      <c r="B13" s="14" t="s">
        <v>28</v>
      </c>
      <c r="C13" s="20">
        <v>1</v>
      </c>
      <c r="E13" s="21" t="s">
        <v>29</v>
      </c>
      <c r="F13" s="29">
        <f>SUM(F11+F12)</f>
        <v>877</v>
      </c>
      <c r="H13" s="25" t="s">
        <v>20</v>
      </c>
      <c r="I13" s="30"/>
    </row>
    <row r="14" spans="1:9" x14ac:dyDescent="0.25">
      <c r="B14" s="14" t="s">
        <v>30</v>
      </c>
      <c r="C14" s="20">
        <v>1000</v>
      </c>
      <c r="E14" s="83"/>
      <c r="F14" s="83"/>
      <c r="H14" s="14" t="s">
        <v>23</v>
      </c>
      <c r="I14" s="17">
        <f>C11</f>
        <v>89</v>
      </c>
    </row>
    <row r="15" spans="1:9" x14ac:dyDescent="0.25">
      <c r="B15" s="14" t="s">
        <v>31</v>
      </c>
      <c r="C15" s="15">
        <v>0.1</v>
      </c>
      <c r="E15" s="4" t="s">
        <v>32</v>
      </c>
      <c r="F15" s="31">
        <v>0.18</v>
      </c>
      <c r="H15" s="14" t="s">
        <v>33</v>
      </c>
      <c r="I15" s="71">
        <f>F4-C12</f>
        <v>247</v>
      </c>
    </row>
    <row r="16" spans="1:9" x14ac:dyDescent="0.25">
      <c r="B16" s="14" t="s">
        <v>34</v>
      </c>
      <c r="C16" s="15">
        <v>0.05</v>
      </c>
      <c r="E16" s="4" t="s">
        <v>35</v>
      </c>
      <c r="F16" s="32">
        <v>1048576</v>
      </c>
      <c r="H16" s="14" t="s">
        <v>36</v>
      </c>
      <c r="I16" s="19">
        <f ca="1">(F8-C13)*0.00005</f>
        <v>4.785931159311594E-4</v>
      </c>
    </row>
    <row r="17" spans="2:9" ht="15.75" thickBot="1" x14ac:dyDescent="0.3">
      <c r="B17" s="21" t="s">
        <v>37</v>
      </c>
      <c r="C17" s="22">
        <v>0.1</v>
      </c>
      <c r="E17" s="4" t="s">
        <v>38</v>
      </c>
      <c r="F17" s="32">
        <v>1024</v>
      </c>
      <c r="H17" s="14" t="s">
        <v>39</v>
      </c>
      <c r="I17" s="19">
        <v>0</v>
      </c>
    </row>
    <row r="18" spans="2:9" ht="15" customHeight="1" x14ac:dyDescent="0.25">
      <c r="B18" s="14"/>
      <c r="C18" s="24"/>
      <c r="H18" s="81"/>
      <c r="I18" s="82"/>
    </row>
    <row r="19" spans="2:9" x14ac:dyDescent="0.25">
      <c r="B19" s="33" t="s">
        <v>40</v>
      </c>
      <c r="C19" s="34"/>
      <c r="E19" s="76" t="s">
        <v>41</v>
      </c>
      <c r="F19" s="76"/>
      <c r="H19" s="14" t="s">
        <v>19</v>
      </c>
      <c r="I19" s="19">
        <f ca="1">SUM(I14:I17)</f>
        <v>336.00047859311593</v>
      </c>
    </row>
    <row r="20" spans="2:9" ht="15.75" thickBot="1" x14ac:dyDescent="0.3">
      <c r="B20" s="21" t="s">
        <v>42</v>
      </c>
      <c r="C20" s="22">
        <v>119</v>
      </c>
      <c r="E20" s="76"/>
      <c r="F20" s="76"/>
      <c r="H20" s="14" t="s">
        <v>22</v>
      </c>
      <c r="I20" s="19">
        <f ca="1">I19*F15</f>
        <v>60.480086146760868</v>
      </c>
    </row>
    <row r="21" spans="2:9" ht="15.75" thickBot="1" x14ac:dyDescent="0.3">
      <c r="E21" s="76"/>
      <c r="F21" s="76"/>
      <c r="H21" s="27" t="s">
        <v>25</v>
      </c>
      <c r="I21" s="28">
        <f ca="1">I19+I20</f>
        <v>396.4805647398768</v>
      </c>
    </row>
    <row r="22" spans="2:9" x14ac:dyDescent="0.25">
      <c r="B22" t="s">
        <v>43</v>
      </c>
      <c r="E22" s="76"/>
      <c r="F22" s="76"/>
      <c r="H22" s="86"/>
      <c r="I22" s="87"/>
    </row>
    <row r="23" spans="2:9" ht="15.75" thickBot="1" x14ac:dyDescent="0.3">
      <c r="H23" s="33" t="s">
        <v>40</v>
      </c>
      <c r="I23" s="30"/>
    </row>
    <row r="24" spans="2:9" ht="15" customHeight="1" x14ac:dyDescent="0.25">
      <c r="B24" s="72" t="s">
        <v>44</v>
      </c>
      <c r="C24" s="73"/>
      <c r="D24" s="73"/>
      <c r="E24" s="73"/>
      <c r="F24" s="74"/>
      <c r="H24" s="14" t="s">
        <v>23</v>
      </c>
      <c r="I24" s="17">
        <f>C20</f>
        <v>119</v>
      </c>
    </row>
    <row r="25" spans="2:9" x14ac:dyDescent="0.25">
      <c r="B25" s="75"/>
      <c r="C25" s="76"/>
      <c r="D25" s="76"/>
      <c r="E25" s="76"/>
      <c r="F25" s="77"/>
      <c r="H25" s="81"/>
      <c r="I25" s="82"/>
    </row>
    <row r="26" spans="2:9" x14ac:dyDescent="0.25">
      <c r="B26" s="75"/>
      <c r="C26" s="76"/>
      <c r="D26" s="76"/>
      <c r="E26" s="76"/>
      <c r="F26" s="77"/>
      <c r="H26" s="14" t="s">
        <v>19</v>
      </c>
      <c r="I26" s="19">
        <f>I24</f>
        <v>119</v>
      </c>
    </row>
    <row r="27" spans="2:9" x14ac:dyDescent="0.25">
      <c r="B27" s="75"/>
      <c r="C27" s="76"/>
      <c r="D27" s="76"/>
      <c r="E27" s="76"/>
      <c r="F27" s="77"/>
      <c r="H27" s="14" t="s">
        <v>22</v>
      </c>
      <c r="I27" s="19">
        <f>I26*F15</f>
        <v>21.419999999999998</v>
      </c>
    </row>
    <row r="28" spans="2:9" ht="15.75" thickBot="1" x14ac:dyDescent="0.3">
      <c r="B28" s="75"/>
      <c r="C28" s="76"/>
      <c r="D28" s="76"/>
      <c r="E28" s="76"/>
      <c r="F28" s="77"/>
      <c r="H28" s="27" t="s">
        <v>25</v>
      </c>
      <c r="I28" s="28">
        <f>I26+I27</f>
        <v>140.41999999999999</v>
      </c>
    </row>
    <row r="29" spans="2:9" x14ac:dyDescent="0.25">
      <c r="B29" s="75"/>
      <c r="C29" s="76"/>
      <c r="D29" s="76"/>
      <c r="E29" s="76"/>
      <c r="F29" s="77"/>
      <c r="H29" s="83"/>
      <c r="I29" s="83"/>
    </row>
    <row r="30" spans="2:9" ht="15.75" thickBot="1" x14ac:dyDescent="0.3">
      <c r="B30" s="78"/>
      <c r="C30" s="79"/>
      <c r="D30" s="79"/>
      <c r="E30" s="79"/>
      <c r="F30" s="80"/>
    </row>
  </sheetData>
  <mergeCells count="14">
    <mergeCell ref="B24:F30"/>
    <mergeCell ref="H25:I25"/>
    <mergeCell ref="H29:I29"/>
    <mergeCell ref="B2:C2"/>
    <mergeCell ref="E2:F2"/>
    <mergeCell ref="H2:I2"/>
    <mergeCell ref="E7:F7"/>
    <mergeCell ref="H8:I8"/>
    <mergeCell ref="E9:F9"/>
    <mergeCell ref="H12:I12"/>
    <mergeCell ref="E14:F14"/>
    <mergeCell ref="H18:I18"/>
    <mergeCell ref="E19:F22"/>
    <mergeCell ref="H22:I22"/>
  </mergeCell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21399-163A-4EC7-8CC8-8DB13D1CF8B0}">
  <sheetPr codeName="Sheet7"/>
  <dimension ref="B1:J903"/>
  <sheetViews>
    <sheetView topLeftCell="A540" workbookViewId="0">
      <selection activeCell="I8" sqref="I8:I554"/>
    </sheetView>
  </sheetViews>
  <sheetFormatPr defaultColWidth="8.85546875" defaultRowHeight="15" x14ac:dyDescent="0.25"/>
  <cols>
    <col min="2" max="2" width="11.42578125" bestFit="1" customWidth="1"/>
    <col min="4" max="4" width="11.42578125" bestFit="1" customWidth="1"/>
    <col min="5" max="5" width="10.42578125" bestFit="1" customWidth="1"/>
    <col min="6" max="6" width="10.7109375" bestFit="1" customWidth="1"/>
    <col min="7" max="7" width="12.140625" bestFit="1" customWidth="1"/>
    <col min="8" max="8" width="19" bestFit="1" customWidth="1"/>
    <col min="9" max="9" width="13.28515625" bestFit="1" customWidth="1"/>
  </cols>
  <sheetData>
    <row r="1" spans="2:10" ht="15.75" thickBot="1" x14ac:dyDescent="0.3"/>
    <row r="2" spans="2:10" x14ac:dyDescent="0.25">
      <c r="B2" s="35" t="s">
        <v>45</v>
      </c>
      <c r="C2" s="36" t="s">
        <v>46</v>
      </c>
      <c r="D2" s="36" t="s">
        <v>47</v>
      </c>
      <c r="E2" s="36" t="s">
        <v>48</v>
      </c>
      <c r="F2" s="36" t="s">
        <v>49</v>
      </c>
      <c r="G2" s="36" t="s">
        <v>50</v>
      </c>
      <c r="H2" s="36" t="s">
        <v>51</v>
      </c>
      <c r="I2" s="37" t="s">
        <v>52</v>
      </c>
      <c r="J2" s="4"/>
    </row>
    <row r="3" spans="2:10" x14ac:dyDescent="0.25">
      <c r="B3" s="14" t="s">
        <v>53</v>
      </c>
      <c r="C3" s="38">
        <v>41183</v>
      </c>
      <c r="D3" s="39">
        <v>0.4777777777777778</v>
      </c>
      <c r="E3" s="8">
        <v>1.62</v>
      </c>
      <c r="F3" s="32" t="str">
        <f>IF(OR(B3="Sunday",B3="Saturday"),"No","Yes")</f>
        <v>Yes</v>
      </c>
      <c r="G3" s="32" t="str">
        <f>IF(D3&lt;0.7916,"Yes","No")</f>
        <v>Yes</v>
      </c>
      <c r="H3" s="40" t="str">
        <f>IF(AND(F3="Yes",G3="Yes"),"Yes","No")</f>
        <v>Yes</v>
      </c>
      <c r="I3" s="41">
        <f>ROUNDUP(E3,0)</f>
        <v>2</v>
      </c>
      <c r="J3" s="42"/>
    </row>
    <row r="4" spans="2:10" x14ac:dyDescent="0.25">
      <c r="B4" s="14" t="s">
        <v>53</v>
      </c>
      <c r="C4" s="38">
        <v>41183</v>
      </c>
      <c r="D4" s="39">
        <v>0.52638888888888891</v>
      </c>
      <c r="E4" s="8">
        <v>2.2400000000000002</v>
      </c>
      <c r="F4" s="32" t="str">
        <f t="shared" ref="F4:F67" si="0">IF(OR(B4="Sunday",B4="Saturday"),"No","Yes")</f>
        <v>Yes</v>
      </c>
      <c r="G4" s="32" t="str">
        <f t="shared" ref="G4:G67" si="1">IF(D4&lt;0.7916,"Yes","No")</f>
        <v>Yes</v>
      </c>
      <c r="H4" s="40" t="str">
        <f t="shared" ref="H4:H67" si="2">IF(AND(F4="Yes",G4="Yes"),"Yes","No")</f>
        <v>Yes</v>
      </c>
      <c r="I4" s="41">
        <f t="shared" ref="I4:I67" si="3">ROUNDUP(E4,0)</f>
        <v>3</v>
      </c>
    </row>
    <row r="5" spans="2:10" x14ac:dyDescent="0.25">
      <c r="B5" s="14" t="s">
        <v>53</v>
      </c>
      <c r="C5" s="38">
        <v>41183</v>
      </c>
      <c r="D5" s="39">
        <v>0.54861111111111105</v>
      </c>
      <c r="E5" s="8">
        <v>0.46</v>
      </c>
      <c r="F5" s="32" t="str">
        <f t="shared" si="0"/>
        <v>Yes</v>
      </c>
      <c r="G5" s="32" t="str">
        <f t="shared" si="1"/>
        <v>Yes</v>
      </c>
      <c r="H5" s="40" t="str">
        <f t="shared" si="2"/>
        <v>Yes</v>
      </c>
      <c r="I5" s="41">
        <f t="shared" si="3"/>
        <v>1</v>
      </c>
    </row>
    <row r="6" spans="2:10" x14ac:dyDescent="0.25">
      <c r="B6" s="14" t="s">
        <v>53</v>
      </c>
      <c r="C6" s="38">
        <v>41183</v>
      </c>
      <c r="D6" s="39">
        <v>0.55277777777777781</v>
      </c>
      <c r="E6" s="8">
        <v>0.27</v>
      </c>
      <c r="F6" s="32" t="str">
        <f t="shared" si="0"/>
        <v>Yes</v>
      </c>
      <c r="G6" s="32" t="str">
        <f t="shared" si="1"/>
        <v>Yes</v>
      </c>
      <c r="H6" s="40" t="str">
        <f t="shared" si="2"/>
        <v>Yes</v>
      </c>
      <c r="I6" s="41">
        <f t="shared" si="3"/>
        <v>1</v>
      </c>
    </row>
    <row r="7" spans="2:10" x14ac:dyDescent="0.25">
      <c r="B7" s="14" t="s">
        <v>53</v>
      </c>
      <c r="C7" s="38">
        <v>41183</v>
      </c>
      <c r="D7" s="39">
        <v>0.55555555555555558</v>
      </c>
      <c r="E7" s="8">
        <v>4.9800000000000004</v>
      </c>
      <c r="F7" s="32" t="str">
        <f t="shared" si="0"/>
        <v>Yes</v>
      </c>
      <c r="G7" s="32" t="str">
        <f t="shared" si="1"/>
        <v>Yes</v>
      </c>
      <c r="H7" s="40" t="str">
        <f t="shared" si="2"/>
        <v>Yes</v>
      </c>
      <c r="I7" s="41">
        <f t="shared" si="3"/>
        <v>5</v>
      </c>
    </row>
    <row r="8" spans="2:10" x14ac:dyDescent="0.25">
      <c r="B8" s="14" t="s">
        <v>53</v>
      </c>
      <c r="C8" s="38">
        <v>41183</v>
      </c>
      <c r="D8" s="39">
        <v>0.6118055555555556</v>
      </c>
      <c r="E8" s="8">
        <v>0.44</v>
      </c>
      <c r="F8" s="32" t="str">
        <f t="shared" si="0"/>
        <v>Yes</v>
      </c>
      <c r="G8" s="32" t="str">
        <f t="shared" si="1"/>
        <v>Yes</v>
      </c>
      <c r="H8" s="40" t="str">
        <f t="shared" si="2"/>
        <v>Yes</v>
      </c>
      <c r="I8" s="41">
        <f t="shared" si="3"/>
        <v>1</v>
      </c>
    </row>
    <row r="9" spans="2:10" x14ac:dyDescent="0.25">
      <c r="B9" s="14" t="s">
        <v>53</v>
      </c>
      <c r="C9" s="38">
        <v>41183</v>
      </c>
      <c r="D9" s="39">
        <v>0.61736111111111114</v>
      </c>
      <c r="E9" s="8">
        <v>1.57</v>
      </c>
      <c r="F9" s="32" t="str">
        <f t="shared" si="0"/>
        <v>Yes</v>
      </c>
      <c r="G9" s="32" t="str">
        <f t="shared" si="1"/>
        <v>Yes</v>
      </c>
      <c r="H9" s="40" t="str">
        <f t="shared" si="2"/>
        <v>Yes</v>
      </c>
      <c r="I9" s="41">
        <f t="shared" si="3"/>
        <v>2</v>
      </c>
    </row>
    <row r="10" spans="2:10" x14ac:dyDescent="0.25">
      <c r="B10" s="14" t="s">
        <v>53</v>
      </c>
      <c r="C10" s="38">
        <v>41183</v>
      </c>
      <c r="D10" s="39">
        <v>0.6479166666666667</v>
      </c>
      <c r="E10" s="8">
        <v>0.25</v>
      </c>
      <c r="F10" s="32" t="str">
        <f t="shared" si="0"/>
        <v>Yes</v>
      </c>
      <c r="G10" s="32" t="str">
        <f t="shared" si="1"/>
        <v>Yes</v>
      </c>
      <c r="H10" s="40" t="str">
        <f t="shared" si="2"/>
        <v>Yes</v>
      </c>
      <c r="I10" s="41">
        <f t="shared" si="3"/>
        <v>1</v>
      </c>
    </row>
    <row r="11" spans="2:10" x14ac:dyDescent="0.25">
      <c r="B11" s="14" t="s">
        <v>53</v>
      </c>
      <c r="C11" s="38">
        <v>41183</v>
      </c>
      <c r="D11" s="39">
        <v>0.65069444444444446</v>
      </c>
      <c r="E11" s="8">
        <v>0.08</v>
      </c>
      <c r="F11" s="32" t="str">
        <f t="shared" si="0"/>
        <v>Yes</v>
      </c>
      <c r="G11" s="32" t="str">
        <f t="shared" si="1"/>
        <v>Yes</v>
      </c>
      <c r="H11" s="40" t="str">
        <f t="shared" si="2"/>
        <v>Yes</v>
      </c>
      <c r="I11" s="41">
        <f t="shared" si="3"/>
        <v>1</v>
      </c>
    </row>
    <row r="12" spans="2:10" x14ac:dyDescent="0.25">
      <c r="B12" s="14" t="s">
        <v>53</v>
      </c>
      <c r="C12" s="38">
        <v>41183</v>
      </c>
      <c r="D12" s="39">
        <v>0.65347222222222223</v>
      </c>
      <c r="E12" s="8">
        <v>2.0699999999999998</v>
      </c>
      <c r="F12" s="32" t="str">
        <f t="shared" si="0"/>
        <v>Yes</v>
      </c>
      <c r="G12" s="32" t="str">
        <f t="shared" si="1"/>
        <v>Yes</v>
      </c>
      <c r="H12" s="40" t="str">
        <f t="shared" si="2"/>
        <v>Yes</v>
      </c>
      <c r="I12" s="41">
        <f t="shared" si="3"/>
        <v>3</v>
      </c>
    </row>
    <row r="13" spans="2:10" x14ac:dyDescent="0.25">
      <c r="B13" s="14" t="s">
        <v>53</v>
      </c>
      <c r="C13" s="38">
        <v>41183</v>
      </c>
      <c r="D13" s="39">
        <v>0.67499999999999993</v>
      </c>
      <c r="E13" s="8">
        <v>1.3</v>
      </c>
      <c r="F13" s="32" t="str">
        <f t="shared" si="0"/>
        <v>Yes</v>
      </c>
      <c r="G13" s="32" t="str">
        <f t="shared" si="1"/>
        <v>Yes</v>
      </c>
      <c r="H13" s="40" t="str">
        <f t="shared" si="2"/>
        <v>Yes</v>
      </c>
      <c r="I13" s="41">
        <f t="shared" si="3"/>
        <v>2</v>
      </c>
    </row>
    <row r="14" spans="2:10" x14ac:dyDescent="0.25">
      <c r="B14" s="14" t="s">
        <v>53</v>
      </c>
      <c r="C14" s="38">
        <v>41183</v>
      </c>
      <c r="D14" s="39">
        <v>0.71111111111111114</v>
      </c>
      <c r="E14" s="8">
        <v>0.36</v>
      </c>
      <c r="F14" s="32" t="str">
        <f t="shared" si="0"/>
        <v>Yes</v>
      </c>
      <c r="G14" s="32" t="str">
        <f t="shared" si="1"/>
        <v>Yes</v>
      </c>
      <c r="H14" s="40" t="str">
        <f t="shared" si="2"/>
        <v>Yes</v>
      </c>
      <c r="I14" s="41">
        <f t="shared" si="3"/>
        <v>1</v>
      </c>
    </row>
    <row r="15" spans="2:10" x14ac:dyDescent="0.25">
      <c r="B15" s="14" t="s">
        <v>53</v>
      </c>
      <c r="C15" s="38">
        <v>41183</v>
      </c>
      <c r="D15" s="39">
        <v>0.71388888888888891</v>
      </c>
      <c r="E15" s="8">
        <v>0.72</v>
      </c>
      <c r="F15" s="32" t="str">
        <f t="shared" si="0"/>
        <v>Yes</v>
      </c>
      <c r="G15" s="32" t="str">
        <f t="shared" si="1"/>
        <v>Yes</v>
      </c>
      <c r="H15" s="40" t="str">
        <f t="shared" si="2"/>
        <v>Yes</v>
      </c>
      <c r="I15" s="41">
        <f t="shared" si="3"/>
        <v>1</v>
      </c>
    </row>
    <row r="16" spans="2:10" x14ac:dyDescent="0.25">
      <c r="B16" s="14" t="s">
        <v>53</v>
      </c>
      <c r="C16" s="38">
        <v>41183</v>
      </c>
      <c r="D16" s="39">
        <v>0.72222222222222221</v>
      </c>
      <c r="E16" s="8">
        <v>3.5</v>
      </c>
      <c r="F16" s="32" t="str">
        <f t="shared" si="0"/>
        <v>Yes</v>
      </c>
      <c r="G16" s="32" t="str">
        <f t="shared" si="1"/>
        <v>Yes</v>
      </c>
      <c r="H16" s="40" t="str">
        <f t="shared" si="2"/>
        <v>Yes</v>
      </c>
      <c r="I16" s="41">
        <f t="shared" si="3"/>
        <v>4</v>
      </c>
    </row>
    <row r="17" spans="2:9" x14ac:dyDescent="0.25">
      <c r="B17" s="14" t="s">
        <v>53</v>
      </c>
      <c r="C17" s="38">
        <v>41183</v>
      </c>
      <c r="D17" s="39">
        <v>0.77083333333333337</v>
      </c>
      <c r="E17" s="8">
        <v>3.45</v>
      </c>
      <c r="F17" s="32" t="str">
        <f t="shared" si="0"/>
        <v>Yes</v>
      </c>
      <c r="G17" s="32" t="str">
        <f t="shared" si="1"/>
        <v>Yes</v>
      </c>
      <c r="H17" s="40" t="str">
        <f t="shared" si="2"/>
        <v>Yes</v>
      </c>
      <c r="I17" s="41">
        <f t="shared" si="3"/>
        <v>4</v>
      </c>
    </row>
    <row r="18" spans="2:9" x14ac:dyDescent="0.25">
      <c r="B18" s="14" t="s">
        <v>53</v>
      </c>
      <c r="C18" s="38">
        <v>41183</v>
      </c>
      <c r="D18" s="39">
        <v>0.81874999999999998</v>
      </c>
      <c r="E18" s="8">
        <v>1.29</v>
      </c>
      <c r="F18" s="32" t="str">
        <f t="shared" si="0"/>
        <v>Yes</v>
      </c>
      <c r="G18" s="32" t="str">
        <f t="shared" si="1"/>
        <v>No</v>
      </c>
      <c r="H18" s="40" t="str">
        <f t="shared" si="2"/>
        <v>No</v>
      </c>
      <c r="I18" s="41">
        <f t="shared" si="3"/>
        <v>2</v>
      </c>
    </row>
    <row r="19" spans="2:9" x14ac:dyDescent="0.25">
      <c r="B19" s="14" t="s">
        <v>53</v>
      </c>
      <c r="C19" s="38">
        <v>41183</v>
      </c>
      <c r="D19" s="39">
        <v>0.85763888888888884</v>
      </c>
      <c r="E19" s="8">
        <v>0.05</v>
      </c>
      <c r="F19" s="32" t="str">
        <f t="shared" si="0"/>
        <v>Yes</v>
      </c>
      <c r="G19" s="32" t="str">
        <f t="shared" si="1"/>
        <v>No</v>
      </c>
      <c r="H19" s="40" t="str">
        <f t="shared" si="2"/>
        <v>No</v>
      </c>
      <c r="I19" s="41">
        <f t="shared" si="3"/>
        <v>1</v>
      </c>
    </row>
    <row r="20" spans="2:9" x14ac:dyDescent="0.25">
      <c r="B20" s="14" t="s">
        <v>53</v>
      </c>
      <c r="C20" s="38">
        <v>41183</v>
      </c>
      <c r="D20" s="39">
        <v>0.85972222222222217</v>
      </c>
      <c r="E20" s="8">
        <v>2.75</v>
      </c>
      <c r="F20" s="32" t="str">
        <f t="shared" si="0"/>
        <v>Yes</v>
      </c>
      <c r="G20" s="32" t="str">
        <f t="shared" si="1"/>
        <v>No</v>
      </c>
      <c r="H20" s="40" t="str">
        <f t="shared" si="2"/>
        <v>No</v>
      </c>
      <c r="I20" s="41">
        <f t="shared" si="3"/>
        <v>3</v>
      </c>
    </row>
    <row r="21" spans="2:9" x14ac:dyDescent="0.25">
      <c r="B21" s="14" t="s">
        <v>54</v>
      </c>
      <c r="C21" s="38">
        <v>41184</v>
      </c>
      <c r="D21" s="39">
        <v>0.41666666666666669</v>
      </c>
      <c r="E21" s="8">
        <v>2.58</v>
      </c>
      <c r="F21" s="32" t="str">
        <f t="shared" si="0"/>
        <v>Yes</v>
      </c>
      <c r="G21" s="32" t="str">
        <f t="shared" si="1"/>
        <v>Yes</v>
      </c>
      <c r="H21" s="40" t="str">
        <f t="shared" si="2"/>
        <v>Yes</v>
      </c>
      <c r="I21" s="41">
        <f t="shared" si="3"/>
        <v>3</v>
      </c>
    </row>
    <row r="22" spans="2:9" x14ac:dyDescent="0.25">
      <c r="B22" s="14" t="s">
        <v>54</v>
      </c>
      <c r="C22" s="38">
        <v>41184</v>
      </c>
      <c r="D22" s="39">
        <v>0.4381944444444445</v>
      </c>
      <c r="E22" s="8">
        <v>0.83</v>
      </c>
      <c r="F22" s="32" t="str">
        <f t="shared" si="0"/>
        <v>Yes</v>
      </c>
      <c r="G22" s="32" t="str">
        <f t="shared" si="1"/>
        <v>Yes</v>
      </c>
      <c r="H22" s="40" t="str">
        <f t="shared" si="2"/>
        <v>Yes</v>
      </c>
      <c r="I22" s="41">
        <f t="shared" si="3"/>
        <v>1</v>
      </c>
    </row>
    <row r="23" spans="2:9" x14ac:dyDescent="0.25">
      <c r="B23" s="14" t="s">
        <v>54</v>
      </c>
      <c r="C23" s="38">
        <v>41184</v>
      </c>
      <c r="D23" s="39">
        <v>0.44513888888888892</v>
      </c>
      <c r="E23" s="8">
        <v>0.36</v>
      </c>
      <c r="F23" s="32" t="str">
        <f t="shared" si="0"/>
        <v>Yes</v>
      </c>
      <c r="G23" s="32" t="str">
        <f t="shared" si="1"/>
        <v>Yes</v>
      </c>
      <c r="H23" s="40" t="str">
        <f t="shared" si="2"/>
        <v>Yes</v>
      </c>
      <c r="I23" s="41">
        <f t="shared" si="3"/>
        <v>1</v>
      </c>
    </row>
    <row r="24" spans="2:9" x14ac:dyDescent="0.25">
      <c r="B24" s="14" t="s">
        <v>54</v>
      </c>
      <c r="C24" s="38">
        <v>41184</v>
      </c>
      <c r="D24" s="39">
        <v>0.44791666666666669</v>
      </c>
      <c r="E24" s="8">
        <v>2.1800000000000002</v>
      </c>
      <c r="F24" s="32" t="str">
        <f t="shared" si="0"/>
        <v>Yes</v>
      </c>
      <c r="G24" s="32" t="str">
        <f t="shared" si="1"/>
        <v>Yes</v>
      </c>
      <c r="H24" s="40" t="str">
        <f t="shared" si="2"/>
        <v>Yes</v>
      </c>
      <c r="I24" s="41">
        <f t="shared" si="3"/>
        <v>3</v>
      </c>
    </row>
    <row r="25" spans="2:9" x14ac:dyDescent="0.25">
      <c r="B25" s="14" t="s">
        <v>54</v>
      </c>
      <c r="C25" s="38">
        <v>41184</v>
      </c>
      <c r="D25" s="39">
        <v>0.49722222222222223</v>
      </c>
      <c r="E25" s="8">
        <v>1.29</v>
      </c>
      <c r="F25" s="32" t="str">
        <f t="shared" si="0"/>
        <v>Yes</v>
      </c>
      <c r="G25" s="32" t="str">
        <f t="shared" si="1"/>
        <v>Yes</v>
      </c>
      <c r="H25" s="40" t="str">
        <f t="shared" si="2"/>
        <v>Yes</v>
      </c>
      <c r="I25" s="41">
        <f t="shared" si="3"/>
        <v>2</v>
      </c>
    </row>
    <row r="26" spans="2:9" x14ac:dyDescent="0.25">
      <c r="B26" s="14" t="s">
        <v>54</v>
      </c>
      <c r="C26" s="38">
        <v>41184</v>
      </c>
      <c r="D26" s="39">
        <v>0.51736111111111105</v>
      </c>
      <c r="E26" s="8">
        <v>1.51</v>
      </c>
      <c r="F26" s="32" t="str">
        <f t="shared" si="0"/>
        <v>Yes</v>
      </c>
      <c r="G26" s="32" t="str">
        <f t="shared" si="1"/>
        <v>Yes</v>
      </c>
      <c r="H26" s="40" t="str">
        <f t="shared" si="2"/>
        <v>Yes</v>
      </c>
      <c r="I26" s="41">
        <f t="shared" si="3"/>
        <v>2</v>
      </c>
    </row>
    <row r="27" spans="2:9" x14ac:dyDescent="0.25">
      <c r="B27" s="14" t="s">
        <v>54</v>
      </c>
      <c r="C27" s="38">
        <v>41184</v>
      </c>
      <c r="D27" s="39">
        <v>0.53680555555555554</v>
      </c>
      <c r="E27" s="8">
        <v>0.14000000000000001</v>
      </c>
      <c r="F27" s="32" t="str">
        <f t="shared" si="0"/>
        <v>Yes</v>
      </c>
      <c r="G27" s="32" t="str">
        <f t="shared" si="1"/>
        <v>Yes</v>
      </c>
      <c r="H27" s="40" t="str">
        <f t="shared" si="2"/>
        <v>Yes</v>
      </c>
      <c r="I27" s="41">
        <f t="shared" si="3"/>
        <v>1</v>
      </c>
    </row>
    <row r="28" spans="2:9" x14ac:dyDescent="0.25">
      <c r="B28" s="14" t="s">
        <v>54</v>
      </c>
      <c r="C28" s="38">
        <v>41184</v>
      </c>
      <c r="D28" s="39">
        <v>0.54305555555555551</v>
      </c>
      <c r="E28" s="8">
        <v>4.18</v>
      </c>
      <c r="F28" s="32" t="str">
        <f t="shared" si="0"/>
        <v>Yes</v>
      </c>
      <c r="G28" s="32" t="str">
        <f t="shared" si="1"/>
        <v>Yes</v>
      </c>
      <c r="H28" s="40" t="str">
        <f t="shared" si="2"/>
        <v>Yes</v>
      </c>
      <c r="I28" s="41">
        <f t="shared" si="3"/>
        <v>5</v>
      </c>
    </row>
    <row r="29" spans="2:9" x14ac:dyDescent="0.25">
      <c r="B29" s="14" t="s">
        <v>54</v>
      </c>
      <c r="C29" s="38">
        <v>41184</v>
      </c>
      <c r="D29" s="39">
        <v>0.57500000000000007</v>
      </c>
      <c r="E29" s="8">
        <v>1.7</v>
      </c>
      <c r="F29" s="32" t="str">
        <f t="shared" si="0"/>
        <v>Yes</v>
      </c>
      <c r="G29" s="32" t="str">
        <f t="shared" si="1"/>
        <v>Yes</v>
      </c>
      <c r="H29" s="40" t="str">
        <f t="shared" si="2"/>
        <v>Yes</v>
      </c>
      <c r="I29" s="41">
        <f t="shared" si="3"/>
        <v>2</v>
      </c>
    </row>
    <row r="30" spans="2:9" x14ac:dyDescent="0.25">
      <c r="B30" s="14" t="s">
        <v>54</v>
      </c>
      <c r="C30" s="38">
        <v>41184</v>
      </c>
      <c r="D30" s="39">
        <v>0.61041666666666672</v>
      </c>
      <c r="E30" s="8">
        <v>5.6</v>
      </c>
      <c r="F30" s="32" t="str">
        <f t="shared" si="0"/>
        <v>Yes</v>
      </c>
      <c r="G30" s="32" t="str">
        <f t="shared" si="1"/>
        <v>Yes</v>
      </c>
      <c r="H30" s="40" t="str">
        <f t="shared" si="2"/>
        <v>Yes</v>
      </c>
      <c r="I30" s="41">
        <f t="shared" si="3"/>
        <v>6</v>
      </c>
    </row>
    <row r="31" spans="2:9" x14ac:dyDescent="0.25">
      <c r="B31" s="14" t="s">
        <v>54</v>
      </c>
      <c r="C31" s="38">
        <v>41184</v>
      </c>
      <c r="D31" s="39">
        <v>0.65902777777777777</v>
      </c>
      <c r="E31" s="8">
        <v>1</v>
      </c>
      <c r="F31" s="32" t="str">
        <f t="shared" si="0"/>
        <v>Yes</v>
      </c>
      <c r="G31" s="32" t="str">
        <f t="shared" si="1"/>
        <v>Yes</v>
      </c>
      <c r="H31" s="40" t="str">
        <f t="shared" si="2"/>
        <v>Yes</v>
      </c>
      <c r="I31" s="41">
        <f t="shared" si="3"/>
        <v>1</v>
      </c>
    </row>
    <row r="32" spans="2:9" x14ac:dyDescent="0.25">
      <c r="B32" s="14" t="s">
        <v>54</v>
      </c>
      <c r="C32" s="38">
        <v>41184</v>
      </c>
      <c r="D32" s="39">
        <v>0.66875000000000007</v>
      </c>
      <c r="E32" s="8">
        <v>0.82</v>
      </c>
      <c r="F32" s="32" t="str">
        <f t="shared" si="0"/>
        <v>Yes</v>
      </c>
      <c r="G32" s="32" t="str">
        <f t="shared" si="1"/>
        <v>Yes</v>
      </c>
      <c r="H32" s="40" t="str">
        <f t="shared" si="2"/>
        <v>Yes</v>
      </c>
      <c r="I32" s="41">
        <f t="shared" si="3"/>
        <v>1</v>
      </c>
    </row>
    <row r="33" spans="2:9" x14ac:dyDescent="0.25">
      <c r="B33" s="14" t="s">
        <v>54</v>
      </c>
      <c r="C33" s="38">
        <v>41184</v>
      </c>
      <c r="D33" s="39">
        <v>0.73125000000000007</v>
      </c>
      <c r="E33" s="8">
        <v>1.75</v>
      </c>
      <c r="F33" s="32" t="str">
        <f t="shared" si="0"/>
        <v>Yes</v>
      </c>
      <c r="G33" s="32" t="str">
        <f t="shared" si="1"/>
        <v>Yes</v>
      </c>
      <c r="H33" s="40" t="str">
        <f t="shared" si="2"/>
        <v>Yes</v>
      </c>
      <c r="I33" s="41">
        <f t="shared" si="3"/>
        <v>2</v>
      </c>
    </row>
    <row r="34" spans="2:9" x14ac:dyDescent="0.25">
      <c r="B34" s="14" t="s">
        <v>54</v>
      </c>
      <c r="C34" s="38">
        <v>41184</v>
      </c>
      <c r="D34" s="39">
        <v>0.74583333333333324</v>
      </c>
      <c r="E34" s="8">
        <v>1.35</v>
      </c>
      <c r="F34" s="32" t="str">
        <f t="shared" si="0"/>
        <v>Yes</v>
      </c>
      <c r="G34" s="32" t="str">
        <f t="shared" si="1"/>
        <v>Yes</v>
      </c>
      <c r="H34" s="40" t="str">
        <f t="shared" si="2"/>
        <v>Yes</v>
      </c>
      <c r="I34" s="41">
        <f t="shared" si="3"/>
        <v>2</v>
      </c>
    </row>
    <row r="35" spans="2:9" x14ac:dyDescent="0.25">
      <c r="B35" s="14" t="s">
        <v>54</v>
      </c>
      <c r="C35" s="38">
        <v>41184</v>
      </c>
      <c r="D35" s="39">
        <v>0.77638888888888891</v>
      </c>
      <c r="E35" s="8">
        <v>0.34</v>
      </c>
      <c r="F35" s="32" t="str">
        <f t="shared" si="0"/>
        <v>Yes</v>
      </c>
      <c r="G35" s="32" t="str">
        <f t="shared" si="1"/>
        <v>Yes</v>
      </c>
      <c r="H35" s="40" t="str">
        <f t="shared" si="2"/>
        <v>Yes</v>
      </c>
      <c r="I35" s="41">
        <f t="shared" si="3"/>
        <v>1</v>
      </c>
    </row>
    <row r="36" spans="2:9" x14ac:dyDescent="0.25">
      <c r="B36" s="14" t="s">
        <v>54</v>
      </c>
      <c r="C36" s="38">
        <v>41184</v>
      </c>
      <c r="D36" s="39">
        <v>0.79791666666666661</v>
      </c>
      <c r="E36" s="8">
        <v>0.65</v>
      </c>
      <c r="F36" s="32" t="str">
        <f t="shared" si="0"/>
        <v>Yes</v>
      </c>
      <c r="G36" s="32" t="str">
        <f t="shared" si="1"/>
        <v>No</v>
      </c>
      <c r="H36" s="40" t="str">
        <f t="shared" si="2"/>
        <v>No</v>
      </c>
      <c r="I36" s="41">
        <f t="shared" si="3"/>
        <v>1</v>
      </c>
    </row>
    <row r="37" spans="2:9" x14ac:dyDescent="0.25">
      <c r="B37" s="14" t="s">
        <v>54</v>
      </c>
      <c r="C37" s="38">
        <v>41184</v>
      </c>
      <c r="D37" s="39">
        <v>0.81458333333333333</v>
      </c>
      <c r="E37" s="8">
        <v>0.36</v>
      </c>
      <c r="F37" s="32" t="str">
        <f t="shared" si="0"/>
        <v>Yes</v>
      </c>
      <c r="G37" s="32" t="str">
        <f t="shared" si="1"/>
        <v>No</v>
      </c>
      <c r="H37" s="40" t="str">
        <f t="shared" si="2"/>
        <v>No</v>
      </c>
      <c r="I37" s="41">
        <f t="shared" si="3"/>
        <v>1</v>
      </c>
    </row>
    <row r="38" spans="2:9" x14ac:dyDescent="0.25">
      <c r="B38" s="14" t="s">
        <v>54</v>
      </c>
      <c r="C38" s="38">
        <v>41184</v>
      </c>
      <c r="D38" s="39">
        <v>0.84930555555555554</v>
      </c>
      <c r="E38" s="8">
        <v>3.84</v>
      </c>
      <c r="F38" s="32" t="str">
        <f t="shared" si="0"/>
        <v>Yes</v>
      </c>
      <c r="G38" s="32" t="str">
        <f t="shared" si="1"/>
        <v>No</v>
      </c>
      <c r="H38" s="40" t="str">
        <f t="shared" si="2"/>
        <v>No</v>
      </c>
      <c r="I38" s="41">
        <f t="shared" si="3"/>
        <v>4</v>
      </c>
    </row>
    <row r="39" spans="2:9" x14ac:dyDescent="0.25">
      <c r="B39" s="14" t="s">
        <v>54</v>
      </c>
      <c r="C39" s="38">
        <v>41184</v>
      </c>
      <c r="D39" s="39">
        <v>0.88263888888888886</v>
      </c>
      <c r="E39" s="8">
        <v>0.4</v>
      </c>
      <c r="F39" s="32" t="str">
        <f t="shared" si="0"/>
        <v>Yes</v>
      </c>
      <c r="G39" s="32" t="str">
        <f t="shared" si="1"/>
        <v>No</v>
      </c>
      <c r="H39" s="40" t="str">
        <f t="shared" si="2"/>
        <v>No</v>
      </c>
      <c r="I39" s="41">
        <f t="shared" si="3"/>
        <v>1</v>
      </c>
    </row>
    <row r="40" spans="2:9" x14ac:dyDescent="0.25">
      <c r="B40" s="14" t="s">
        <v>54</v>
      </c>
      <c r="C40" s="38">
        <v>41184</v>
      </c>
      <c r="D40" s="39">
        <v>0.88541666666666663</v>
      </c>
      <c r="E40" s="8">
        <v>1</v>
      </c>
      <c r="F40" s="32" t="str">
        <f t="shared" si="0"/>
        <v>Yes</v>
      </c>
      <c r="G40" s="32" t="str">
        <f t="shared" si="1"/>
        <v>No</v>
      </c>
      <c r="H40" s="40" t="str">
        <f t="shared" si="2"/>
        <v>No</v>
      </c>
      <c r="I40" s="41">
        <f t="shared" si="3"/>
        <v>1</v>
      </c>
    </row>
    <row r="41" spans="2:9" x14ac:dyDescent="0.25">
      <c r="B41" s="14" t="s">
        <v>54</v>
      </c>
      <c r="C41" s="38">
        <v>41184</v>
      </c>
      <c r="D41" s="39">
        <v>0.89583333333333337</v>
      </c>
      <c r="E41" s="8">
        <v>1.2</v>
      </c>
      <c r="F41" s="32" t="str">
        <f t="shared" si="0"/>
        <v>Yes</v>
      </c>
      <c r="G41" s="32" t="str">
        <f t="shared" si="1"/>
        <v>No</v>
      </c>
      <c r="H41" s="40" t="str">
        <f t="shared" si="2"/>
        <v>No</v>
      </c>
      <c r="I41" s="41">
        <f t="shared" si="3"/>
        <v>2</v>
      </c>
    </row>
    <row r="42" spans="2:9" x14ac:dyDescent="0.25">
      <c r="B42" s="14" t="s">
        <v>54</v>
      </c>
      <c r="C42" s="38">
        <v>41184</v>
      </c>
      <c r="D42" s="39">
        <v>0.95000000000000007</v>
      </c>
      <c r="E42" s="8">
        <v>2.5</v>
      </c>
      <c r="F42" s="32" t="str">
        <f t="shared" si="0"/>
        <v>Yes</v>
      </c>
      <c r="G42" s="32" t="str">
        <f t="shared" si="1"/>
        <v>No</v>
      </c>
      <c r="H42" s="40" t="str">
        <f t="shared" si="2"/>
        <v>No</v>
      </c>
      <c r="I42" s="41">
        <f t="shared" si="3"/>
        <v>3</v>
      </c>
    </row>
    <row r="43" spans="2:9" x14ac:dyDescent="0.25">
      <c r="B43" s="14" t="s">
        <v>55</v>
      </c>
      <c r="C43" s="38">
        <v>41185</v>
      </c>
      <c r="D43" s="39">
        <v>0.46319444444444446</v>
      </c>
      <c r="E43" s="8">
        <v>0.56999999999999995</v>
      </c>
      <c r="F43" s="32" t="str">
        <f t="shared" si="0"/>
        <v>Yes</v>
      </c>
      <c r="G43" s="32" t="str">
        <f t="shared" si="1"/>
        <v>Yes</v>
      </c>
      <c r="H43" s="40" t="str">
        <f t="shared" si="2"/>
        <v>Yes</v>
      </c>
      <c r="I43" s="41">
        <f t="shared" si="3"/>
        <v>1</v>
      </c>
    </row>
    <row r="44" spans="2:9" x14ac:dyDescent="0.25">
      <c r="B44" s="14" t="s">
        <v>55</v>
      </c>
      <c r="C44" s="38">
        <v>41185</v>
      </c>
      <c r="D44" s="39">
        <v>0.46875</v>
      </c>
      <c r="E44" s="8">
        <v>0.22</v>
      </c>
      <c r="F44" s="32" t="str">
        <f t="shared" si="0"/>
        <v>Yes</v>
      </c>
      <c r="G44" s="32" t="str">
        <f t="shared" si="1"/>
        <v>Yes</v>
      </c>
      <c r="H44" s="40" t="str">
        <f t="shared" si="2"/>
        <v>Yes</v>
      </c>
      <c r="I44" s="41">
        <f t="shared" si="3"/>
        <v>1</v>
      </c>
    </row>
    <row r="45" spans="2:9" x14ac:dyDescent="0.25">
      <c r="B45" s="14" t="s">
        <v>55</v>
      </c>
      <c r="C45" s="38">
        <v>41185</v>
      </c>
      <c r="D45" s="39">
        <v>0.47291666666666665</v>
      </c>
      <c r="E45" s="8">
        <v>0.21</v>
      </c>
      <c r="F45" s="32" t="str">
        <f t="shared" si="0"/>
        <v>Yes</v>
      </c>
      <c r="G45" s="32" t="str">
        <f t="shared" si="1"/>
        <v>Yes</v>
      </c>
      <c r="H45" s="40" t="str">
        <f t="shared" si="2"/>
        <v>Yes</v>
      </c>
      <c r="I45" s="41">
        <f t="shared" si="3"/>
        <v>1</v>
      </c>
    </row>
    <row r="46" spans="2:9" x14ac:dyDescent="0.25">
      <c r="B46" s="14" t="s">
        <v>55</v>
      </c>
      <c r="C46" s="38">
        <v>41185</v>
      </c>
      <c r="D46" s="39">
        <v>0.47986111111111113</v>
      </c>
      <c r="E46" s="8">
        <v>0.22</v>
      </c>
      <c r="F46" s="32" t="str">
        <f t="shared" si="0"/>
        <v>Yes</v>
      </c>
      <c r="G46" s="32" t="str">
        <f t="shared" si="1"/>
        <v>Yes</v>
      </c>
      <c r="H46" s="40" t="str">
        <f t="shared" si="2"/>
        <v>Yes</v>
      </c>
      <c r="I46" s="41">
        <f t="shared" si="3"/>
        <v>1</v>
      </c>
    </row>
    <row r="47" spans="2:9" x14ac:dyDescent="0.25">
      <c r="B47" s="14" t="s">
        <v>55</v>
      </c>
      <c r="C47" s="38">
        <v>41185</v>
      </c>
      <c r="D47" s="39">
        <v>0.48749999999999999</v>
      </c>
      <c r="E47" s="8">
        <v>0.38</v>
      </c>
      <c r="F47" s="32" t="str">
        <f t="shared" si="0"/>
        <v>Yes</v>
      </c>
      <c r="G47" s="32" t="str">
        <f t="shared" si="1"/>
        <v>Yes</v>
      </c>
      <c r="H47" s="40" t="str">
        <f t="shared" si="2"/>
        <v>Yes</v>
      </c>
      <c r="I47" s="41">
        <f t="shared" si="3"/>
        <v>1</v>
      </c>
    </row>
    <row r="48" spans="2:9" x14ac:dyDescent="0.25">
      <c r="B48" s="14" t="s">
        <v>55</v>
      </c>
      <c r="C48" s="38">
        <v>41185</v>
      </c>
      <c r="D48" s="39">
        <v>0.4909722222222222</v>
      </c>
      <c r="E48" s="8">
        <v>0.41</v>
      </c>
      <c r="F48" s="32" t="str">
        <f t="shared" si="0"/>
        <v>Yes</v>
      </c>
      <c r="G48" s="32" t="str">
        <f t="shared" si="1"/>
        <v>Yes</v>
      </c>
      <c r="H48" s="40" t="str">
        <f t="shared" si="2"/>
        <v>Yes</v>
      </c>
      <c r="I48" s="41">
        <f t="shared" si="3"/>
        <v>1</v>
      </c>
    </row>
    <row r="49" spans="2:9" x14ac:dyDescent="0.25">
      <c r="B49" s="14" t="s">
        <v>55</v>
      </c>
      <c r="C49" s="38">
        <v>41185</v>
      </c>
      <c r="D49" s="39">
        <v>0.49722222222222223</v>
      </c>
      <c r="E49" s="8">
        <v>3.82</v>
      </c>
      <c r="F49" s="32" t="str">
        <f t="shared" si="0"/>
        <v>Yes</v>
      </c>
      <c r="G49" s="32" t="str">
        <f t="shared" si="1"/>
        <v>Yes</v>
      </c>
      <c r="H49" s="40" t="str">
        <f t="shared" si="2"/>
        <v>Yes</v>
      </c>
      <c r="I49" s="41">
        <f t="shared" si="3"/>
        <v>4</v>
      </c>
    </row>
    <row r="50" spans="2:9" x14ac:dyDescent="0.25">
      <c r="B50" s="14" t="s">
        <v>55</v>
      </c>
      <c r="C50" s="38">
        <v>41185</v>
      </c>
      <c r="D50" s="39">
        <v>0.52638888888888891</v>
      </c>
      <c r="E50" s="8">
        <v>69.3</v>
      </c>
      <c r="F50" s="32" t="str">
        <f t="shared" si="0"/>
        <v>Yes</v>
      </c>
      <c r="G50" s="32" t="str">
        <f t="shared" si="1"/>
        <v>Yes</v>
      </c>
      <c r="H50" s="40" t="str">
        <f t="shared" si="2"/>
        <v>Yes</v>
      </c>
      <c r="I50" s="41">
        <f t="shared" si="3"/>
        <v>70</v>
      </c>
    </row>
    <row r="51" spans="2:9" x14ac:dyDescent="0.25">
      <c r="B51" s="14" t="s">
        <v>55</v>
      </c>
      <c r="C51" s="38">
        <v>41185</v>
      </c>
      <c r="D51" s="39">
        <v>0.57986111111111105</v>
      </c>
      <c r="E51" s="8">
        <v>1.47</v>
      </c>
      <c r="F51" s="32" t="str">
        <f t="shared" si="0"/>
        <v>Yes</v>
      </c>
      <c r="G51" s="32" t="str">
        <f t="shared" si="1"/>
        <v>Yes</v>
      </c>
      <c r="H51" s="40" t="str">
        <f t="shared" si="2"/>
        <v>Yes</v>
      </c>
      <c r="I51" s="41">
        <f t="shared" si="3"/>
        <v>2</v>
      </c>
    </row>
    <row r="52" spans="2:9" x14ac:dyDescent="0.25">
      <c r="B52" s="14" t="s">
        <v>55</v>
      </c>
      <c r="C52" s="38">
        <v>41185</v>
      </c>
      <c r="D52" s="39">
        <v>0.60277777777777775</v>
      </c>
      <c r="E52" s="8">
        <v>4.9400000000000004</v>
      </c>
      <c r="F52" s="32" t="str">
        <f t="shared" si="0"/>
        <v>Yes</v>
      </c>
      <c r="G52" s="32" t="str">
        <f t="shared" si="1"/>
        <v>Yes</v>
      </c>
      <c r="H52" s="40" t="str">
        <f t="shared" si="2"/>
        <v>Yes</v>
      </c>
      <c r="I52" s="41">
        <f t="shared" si="3"/>
        <v>5</v>
      </c>
    </row>
    <row r="53" spans="2:9" x14ac:dyDescent="0.25">
      <c r="B53" s="14" t="s">
        <v>55</v>
      </c>
      <c r="C53" s="38">
        <v>41185</v>
      </c>
      <c r="D53" s="39">
        <v>0.6645833333333333</v>
      </c>
      <c r="E53" s="8">
        <v>0.28999999999999998</v>
      </c>
      <c r="F53" s="32" t="str">
        <f t="shared" si="0"/>
        <v>Yes</v>
      </c>
      <c r="G53" s="32" t="str">
        <f t="shared" si="1"/>
        <v>Yes</v>
      </c>
      <c r="H53" s="40" t="str">
        <f t="shared" si="2"/>
        <v>Yes</v>
      </c>
      <c r="I53" s="41">
        <f t="shared" si="3"/>
        <v>1</v>
      </c>
    </row>
    <row r="54" spans="2:9" x14ac:dyDescent="0.25">
      <c r="B54" s="14" t="s">
        <v>55</v>
      </c>
      <c r="C54" s="38">
        <v>41185</v>
      </c>
      <c r="D54" s="39">
        <v>0.66805555555555562</v>
      </c>
      <c r="E54" s="8">
        <v>0.1</v>
      </c>
      <c r="F54" s="32" t="str">
        <f t="shared" si="0"/>
        <v>Yes</v>
      </c>
      <c r="G54" s="32" t="str">
        <f t="shared" si="1"/>
        <v>Yes</v>
      </c>
      <c r="H54" s="40" t="str">
        <f t="shared" si="2"/>
        <v>Yes</v>
      </c>
      <c r="I54" s="41">
        <f t="shared" si="3"/>
        <v>1</v>
      </c>
    </row>
    <row r="55" spans="2:9" x14ac:dyDescent="0.25">
      <c r="B55" s="14" t="s">
        <v>55</v>
      </c>
      <c r="C55" s="38">
        <v>41185</v>
      </c>
      <c r="D55" s="39">
        <v>0.67708333333333337</v>
      </c>
      <c r="E55" s="8">
        <v>2.2000000000000002</v>
      </c>
      <c r="F55" s="32" t="str">
        <f t="shared" si="0"/>
        <v>Yes</v>
      </c>
      <c r="G55" s="32" t="str">
        <f t="shared" si="1"/>
        <v>Yes</v>
      </c>
      <c r="H55" s="40" t="str">
        <f t="shared" si="2"/>
        <v>Yes</v>
      </c>
      <c r="I55" s="41">
        <f t="shared" si="3"/>
        <v>3</v>
      </c>
    </row>
    <row r="56" spans="2:9" x14ac:dyDescent="0.25">
      <c r="B56" s="14" t="s">
        <v>56</v>
      </c>
      <c r="C56" s="38">
        <v>41186</v>
      </c>
      <c r="D56" s="39">
        <v>0.3840277777777778</v>
      </c>
      <c r="E56" s="8">
        <v>2.38</v>
      </c>
      <c r="F56" s="32" t="str">
        <f t="shared" si="0"/>
        <v>Yes</v>
      </c>
      <c r="G56" s="32" t="str">
        <f t="shared" si="1"/>
        <v>Yes</v>
      </c>
      <c r="H56" s="40" t="str">
        <f t="shared" si="2"/>
        <v>Yes</v>
      </c>
      <c r="I56" s="41">
        <f t="shared" si="3"/>
        <v>3</v>
      </c>
    </row>
    <row r="57" spans="2:9" x14ac:dyDescent="0.25">
      <c r="B57" s="14" t="s">
        <v>56</v>
      </c>
      <c r="C57" s="38">
        <v>41186</v>
      </c>
      <c r="D57" s="39">
        <v>0.4236111111111111</v>
      </c>
      <c r="E57" s="8">
        <v>5.45</v>
      </c>
      <c r="F57" s="32" t="str">
        <f t="shared" si="0"/>
        <v>Yes</v>
      </c>
      <c r="G57" s="32" t="str">
        <f t="shared" si="1"/>
        <v>Yes</v>
      </c>
      <c r="H57" s="40" t="str">
        <f t="shared" si="2"/>
        <v>Yes</v>
      </c>
      <c r="I57" s="41">
        <f t="shared" si="3"/>
        <v>6</v>
      </c>
    </row>
    <row r="58" spans="2:9" x14ac:dyDescent="0.25">
      <c r="B58" s="14" t="s">
        <v>56</v>
      </c>
      <c r="C58" s="38">
        <v>41186</v>
      </c>
      <c r="D58" s="39">
        <v>0.47569444444444442</v>
      </c>
      <c r="E58" s="8">
        <v>1.54</v>
      </c>
      <c r="F58" s="32" t="str">
        <f t="shared" si="0"/>
        <v>Yes</v>
      </c>
      <c r="G58" s="32" t="str">
        <f t="shared" si="1"/>
        <v>Yes</v>
      </c>
      <c r="H58" s="40" t="str">
        <f t="shared" si="2"/>
        <v>Yes</v>
      </c>
      <c r="I58" s="41">
        <f t="shared" si="3"/>
        <v>2</v>
      </c>
    </row>
    <row r="59" spans="2:9" x14ac:dyDescent="0.25">
      <c r="B59" s="14" t="s">
        <v>56</v>
      </c>
      <c r="C59" s="38">
        <v>41186</v>
      </c>
      <c r="D59" s="39">
        <v>0.50069444444444444</v>
      </c>
      <c r="E59" s="8">
        <v>0.71</v>
      </c>
      <c r="F59" s="32" t="str">
        <f t="shared" si="0"/>
        <v>Yes</v>
      </c>
      <c r="G59" s="32" t="str">
        <f t="shared" si="1"/>
        <v>Yes</v>
      </c>
      <c r="H59" s="40" t="str">
        <f t="shared" si="2"/>
        <v>Yes</v>
      </c>
      <c r="I59" s="41">
        <f t="shared" si="3"/>
        <v>1</v>
      </c>
    </row>
    <row r="60" spans="2:9" x14ac:dyDescent="0.25">
      <c r="B60" s="14" t="s">
        <v>56</v>
      </c>
      <c r="C60" s="38">
        <v>41186</v>
      </c>
      <c r="D60" s="39">
        <v>0.5083333333333333</v>
      </c>
      <c r="E60" s="8">
        <v>0.12</v>
      </c>
      <c r="F60" s="32" t="str">
        <f t="shared" si="0"/>
        <v>Yes</v>
      </c>
      <c r="G60" s="32" t="str">
        <f t="shared" si="1"/>
        <v>Yes</v>
      </c>
      <c r="H60" s="40" t="str">
        <f t="shared" si="2"/>
        <v>Yes</v>
      </c>
      <c r="I60" s="41">
        <f t="shared" si="3"/>
        <v>1</v>
      </c>
    </row>
    <row r="61" spans="2:9" x14ac:dyDescent="0.25">
      <c r="B61" s="14" t="s">
        <v>56</v>
      </c>
      <c r="C61" s="38">
        <v>41186</v>
      </c>
      <c r="D61" s="39">
        <v>0.50972222222222219</v>
      </c>
      <c r="E61" s="8">
        <v>1.89</v>
      </c>
      <c r="F61" s="32" t="str">
        <f t="shared" si="0"/>
        <v>Yes</v>
      </c>
      <c r="G61" s="32" t="str">
        <f t="shared" si="1"/>
        <v>Yes</v>
      </c>
      <c r="H61" s="40" t="str">
        <f t="shared" si="2"/>
        <v>Yes</v>
      </c>
      <c r="I61" s="41">
        <f t="shared" si="3"/>
        <v>2</v>
      </c>
    </row>
    <row r="62" spans="2:9" x14ac:dyDescent="0.25">
      <c r="B62" s="14" t="s">
        <v>56</v>
      </c>
      <c r="C62" s="38">
        <v>41186</v>
      </c>
      <c r="D62" s="39">
        <v>0.54027777777777775</v>
      </c>
      <c r="E62" s="8">
        <v>1.23</v>
      </c>
      <c r="F62" s="32" t="str">
        <f t="shared" si="0"/>
        <v>Yes</v>
      </c>
      <c r="G62" s="32" t="str">
        <f t="shared" si="1"/>
        <v>Yes</v>
      </c>
      <c r="H62" s="40" t="str">
        <f t="shared" si="2"/>
        <v>Yes</v>
      </c>
      <c r="I62" s="41">
        <f t="shared" si="3"/>
        <v>2</v>
      </c>
    </row>
    <row r="63" spans="2:9" x14ac:dyDescent="0.25">
      <c r="B63" s="14" t="s">
        <v>56</v>
      </c>
      <c r="C63" s="38">
        <v>41186</v>
      </c>
      <c r="D63" s="39">
        <v>0.5541666666666667</v>
      </c>
      <c r="E63" s="8">
        <v>2.82</v>
      </c>
      <c r="F63" s="32" t="str">
        <f t="shared" si="0"/>
        <v>Yes</v>
      </c>
      <c r="G63" s="32" t="str">
        <f t="shared" si="1"/>
        <v>Yes</v>
      </c>
      <c r="H63" s="40" t="str">
        <f t="shared" si="2"/>
        <v>Yes</v>
      </c>
      <c r="I63" s="41">
        <f t="shared" si="3"/>
        <v>3</v>
      </c>
    </row>
    <row r="64" spans="2:9" x14ac:dyDescent="0.25">
      <c r="B64" s="14" t="s">
        <v>56</v>
      </c>
      <c r="C64" s="38">
        <v>41186</v>
      </c>
      <c r="D64" s="39">
        <v>0.58680555555555558</v>
      </c>
      <c r="E64" s="8">
        <v>1.38</v>
      </c>
      <c r="F64" s="32" t="str">
        <f t="shared" si="0"/>
        <v>Yes</v>
      </c>
      <c r="G64" s="32" t="str">
        <f t="shared" si="1"/>
        <v>Yes</v>
      </c>
      <c r="H64" s="40" t="str">
        <f t="shared" si="2"/>
        <v>Yes</v>
      </c>
      <c r="I64" s="41">
        <f t="shared" si="3"/>
        <v>2</v>
      </c>
    </row>
    <row r="65" spans="2:9" x14ac:dyDescent="0.25">
      <c r="B65" s="14" t="s">
        <v>56</v>
      </c>
      <c r="C65" s="38">
        <v>41186</v>
      </c>
      <c r="D65" s="39">
        <v>0.60833333333333328</v>
      </c>
      <c r="E65" s="8">
        <v>0.18</v>
      </c>
      <c r="F65" s="32" t="str">
        <f t="shared" si="0"/>
        <v>Yes</v>
      </c>
      <c r="G65" s="32" t="str">
        <f t="shared" si="1"/>
        <v>Yes</v>
      </c>
      <c r="H65" s="40" t="str">
        <f t="shared" si="2"/>
        <v>Yes</v>
      </c>
      <c r="I65" s="41">
        <f t="shared" si="3"/>
        <v>1</v>
      </c>
    </row>
    <row r="66" spans="2:9" x14ac:dyDescent="0.25">
      <c r="B66" s="14" t="s">
        <v>56</v>
      </c>
      <c r="C66" s="38">
        <v>41186</v>
      </c>
      <c r="D66" s="39">
        <v>0.61111111111111105</v>
      </c>
      <c r="E66" s="8">
        <v>1.33</v>
      </c>
      <c r="F66" s="32" t="str">
        <f t="shared" si="0"/>
        <v>Yes</v>
      </c>
      <c r="G66" s="32" t="str">
        <f t="shared" si="1"/>
        <v>Yes</v>
      </c>
      <c r="H66" s="40" t="str">
        <f t="shared" si="2"/>
        <v>Yes</v>
      </c>
      <c r="I66" s="41">
        <f t="shared" si="3"/>
        <v>2</v>
      </c>
    </row>
    <row r="67" spans="2:9" x14ac:dyDescent="0.25">
      <c r="B67" s="14" t="s">
        <v>57</v>
      </c>
      <c r="C67" s="38">
        <v>41187</v>
      </c>
      <c r="D67" s="39">
        <v>0.3430555555555555</v>
      </c>
      <c r="E67" s="8">
        <v>0.02</v>
      </c>
      <c r="F67" s="32" t="str">
        <f t="shared" si="0"/>
        <v>Yes</v>
      </c>
      <c r="G67" s="32" t="str">
        <f t="shared" si="1"/>
        <v>Yes</v>
      </c>
      <c r="H67" s="40" t="str">
        <f t="shared" si="2"/>
        <v>Yes</v>
      </c>
      <c r="I67" s="41">
        <f t="shared" si="3"/>
        <v>1</v>
      </c>
    </row>
    <row r="68" spans="2:9" x14ac:dyDescent="0.25">
      <c r="B68" s="14" t="s">
        <v>57</v>
      </c>
      <c r="C68" s="38">
        <v>41187</v>
      </c>
      <c r="D68" s="39">
        <v>0.34375</v>
      </c>
      <c r="E68" s="8">
        <v>0.14000000000000001</v>
      </c>
      <c r="F68" s="32" t="str">
        <f t="shared" ref="F68:F131" si="4">IF(OR(B68="Sunday",B68="Saturday"),"No","Yes")</f>
        <v>Yes</v>
      </c>
      <c r="G68" s="32" t="str">
        <f t="shared" ref="G68:G131" si="5">IF(D68&lt;0.7916,"Yes","No")</f>
        <v>Yes</v>
      </c>
      <c r="H68" s="40" t="str">
        <f t="shared" ref="H68:H131" si="6">IF(AND(F68="Yes",G68="Yes"),"Yes","No")</f>
        <v>Yes</v>
      </c>
      <c r="I68" s="41">
        <f t="shared" ref="I68:I131" si="7">ROUNDUP(E68,0)</f>
        <v>1</v>
      </c>
    </row>
    <row r="69" spans="2:9" x14ac:dyDescent="0.25">
      <c r="B69" s="14" t="s">
        <v>57</v>
      </c>
      <c r="C69" s="38">
        <v>41187</v>
      </c>
      <c r="D69" s="39">
        <v>0.35069444444444442</v>
      </c>
      <c r="E69" s="8">
        <v>2.7</v>
      </c>
      <c r="F69" s="32" t="str">
        <f t="shared" si="4"/>
        <v>Yes</v>
      </c>
      <c r="G69" s="32" t="str">
        <f t="shared" si="5"/>
        <v>Yes</v>
      </c>
      <c r="H69" s="40" t="str">
        <f t="shared" si="6"/>
        <v>Yes</v>
      </c>
      <c r="I69" s="41">
        <f t="shared" si="7"/>
        <v>3</v>
      </c>
    </row>
    <row r="70" spans="2:9" x14ac:dyDescent="0.25">
      <c r="B70" s="14" t="s">
        <v>57</v>
      </c>
      <c r="C70" s="38">
        <v>41187</v>
      </c>
      <c r="D70" s="39">
        <v>0.37986111111111115</v>
      </c>
      <c r="E70" s="8">
        <v>0.05</v>
      </c>
      <c r="F70" s="32" t="str">
        <f t="shared" si="4"/>
        <v>Yes</v>
      </c>
      <c r="G70" s="32" t="str">
        <f t="shared" si="5"/>
        <v>Yes</v>
      </c>
      <c r="H70" s="40" t="str">
        <f t="shared" si="6"/>
        <v>Yes</v>
      </c>
      <c r="I70" s="41">
        <f t="shared" si="7"/>
        <v>1</v>
      </c>
    </row>
    <row r="71" spans="2:9" x14ac:dyDescent="0.25">
      <c r="B71" s="14" t="s">
        <v>57</v>
      </c>
      <c r="C71" s="38">
        <v>41187</v>
      </c>
      <c r="D71" s="39">
        <v>0.38055555555555554</v>
      </c>
      <c r="E71" s="8">
        <v>3.84</v>
      </c>
      <c r="F71" s="32" t="str">
        <f t="shared" si="4"/>
        <v>Yes</v>
      </c>
      <c r="G71" s="32" t="str">
        <f t="shared" si="5"/>
        <v>Yes</v>
      </c>
      <c r="H71" s="40" t="str">
        <f t="shared" si="6"/>
        <v>Yes</v>
      </c>
      <c r="I71" s="41">
        <f t="shared" si="7"/>
        <v>4</v>
      </c>
    </row>
    <row r="72" spans="2:9" x14ac:dyDescent="0.25">
      <c r="B72" s="14" t="s">
        <v>57</v>
      </c>
      <c r="C72" s="38">
        <v>41187</v>
      </c>
      <c r="D72" s="39">
        <v>0.41388888888888892</v>
      </c>
      <c r="E72" s="8">
        <v>3.11</v>
      </c>
      <c r="F72" s="32" t="str">
        <f t="shared" si="4"/>
        <v>Yes</v>
      </c>
      <c r="G72" s="32" t="str">
        <f t="shared" si="5"/>
        <v>Yes</v>
      </c>
      <c r="H72" s="40" t="str">
        <f t="shared" si="6"/>
        <v>Yes</v>
      </c>
      <c r="I72" s="41">
        <f t="shared" si="7"/>
        <v>4</v>
      </c>
    </row>
    <row r="73" spans="2:9" x14ac:dyDescent="0.25">
      <c r="B73" s="14" t="s">
        <v>57</v>
      </c>
      <c r="C73" s="38">
        <v>41187</v>
      </c>
      <c r="D73" s="39">
        <v>0.4381944444444445</v>
      </c>
      <c r="E73" s="8">
        <v>0.14000000000000001</v>
      </c>
      <c r="F73" s="32" t="str">
        <f t="shared" si="4"/>
        <v>Yes</v>
      </c>
      <c r="G73" s="32" t="str">
        <f t="shared" si="5"/>
        <v>Yes</v>
      </c>
      <c r="H73" s="40" t="str">
        <f t="shared" si="6"/>
        <v>Yes</v>
      </c>
      <c r="I73" s="41">
        <f t="shared" si="7"/>
        <v>1</v>
      </c>
    </row>
    <row r="74" spans="2:9" x14ac:dyDescent="0.25">
      <c r="B74" s="14" t="s">
        <v>57</v>
      </c>
      <c r="C74" s="38">
        <v>41187</v>
      </c>
      <c r="D74" s="39">
        <v>0.44236111111111115</v>
      </c>
      <c r="E74" s="8">
        <v>0.27</v>
      </c>
      <c r="F74" s="32" t="str">
        <f t="shared" si="4"/>
        <v>Yes</v>
      </c>
      <c r="G74" s="32" t="str">
        <f t="shared" si="5"/>
        <v>Yes</v>
      </c>
      <c r="H74" s="40" t="str">
        <f t="shared" si="6"/>
        <v>Yes</v>
      </c>
      <c r="I74" s="41">
        <f t="shared" si="7"/>
        <v>1</v>
      </c>
    </row>
    <row r="75" spans="2:9" x14ac:dyDescent="0.25">
      <c r="B75" s="14" t="s">
        <v>57</v>
      </c>
      <c r="C75" s="38">
        <v>41187</v>
      </c>
      <c r="D75" s="39">
        <v>0.44930555555555557</v>
      </c>
      <c r="E75" s="8">
        <v>4</v>
      </c>
      <c r="F75" s="32" t="str">
        <f t="shared" si="4"/>
        <v>Yes</v>
      </c>
      <c r="G75" s="32" t="str">
        <f t="shared" si="5"/>
        <v>Yes</v>
      </c>
      <c r="H75" s="40" t="str">
        <f t="shared" si="6"/>
        <v>Yes</v>
      </c>
      <c r="I75" s="41">
        <f t="shared" si="7"/>
        <v>4</v>
      </c>
    </row>
    <row r="76" spans="2:9" x14ac:dyDescent="0.25">
      <c r="B76" s="14" t="s">
        <v>57</v>
      </c>
      <c r="C76" s="38">
        <v>41187</v>
      </c>
      <c r="D76" s="39">
        <v>0.48749999999999999</v>
      </c>
      <c r="E76" s="8">
        <v>2.93</v>
      </c>
      <c r="F76" s="32" t="str">
        <f t="shared" si="4"/>
        <v>Yes</v>
      </c>
      <c r="G76" s="32" t="str">
        <f t="shared" si="5"/>
        <v>Yes</v>
      </c>
      <c r="H76" s="40" t="str">
        <f t="shared" si="6"/>
        <v>Yes</v>
      </c>
      <c r="I76" s="41">
        <f t="shared" si="7"/>
        <v>3</v>
      </c>
    </row>
    <row r="77" spans="2:9" x14ac:dyDescent="0.25">
      <c r="B77" s="14" t="s">
        <v>57</v>
      </c>
      <c r="C77" s="38">
        <v>41187</v>
      </c>
      <c r="D77" s="39">
        <v>0.51458333333333328</v>
      </c>
      <c r="E77" s="8">
        <v>4.2</v>
      </c>
      <c r="F77" s="32" t="str">
        <f t="shared" si="4"/>
        <v>Yes</v>
      </c>
      <c r="G77" s="32" t="str">
        <f t="shared" si="5"/>
        <v>Yes</v>
      </c>
      <c r="H77" s="40" t="str">
        <f t="shared" si="6"/>
        <v>Yes</v>
      </c>
      <c r="I77" s="41">
        <f t="shared" si="7"/>
        <v>5</v>
      </c>
    </row>
    <row r="78" spans="2:9" x14ac:dyDescent="0.25">
      <c r="B78" s="14" t="s">
        <v>57</v>
      </c>
      <c r="C78" s="38">
        <v>41187</v>
      </c>
      <c r="D78" s="39">
        <v>0.56319444444444444</v>
      </c>
      <c r="E78" s="8">
        <v>0.38</v>
      </c>
      <c r="F78" s="32" t="str">
        <f t="shared" si="4"/>
        <v>Yes</v>
      </c>
      <c r="G78" s="32" t="str">
        <f t="shared" si="5"/>
        <v>Yes</v>
      </c>
      <c r="H78" s="40" t="str">
        <f t="shared" si="6"/>
        <v>Yes</v>
      </c>
      <c r="I78" s="41">
        <f t="shared" si="7"/>
        <v>1</v>
      </c>
    </row>
    <row r="79" spans="2:9" x14ac:dyDescent="0.25">
      <c r="B79" s="14" t="s">
        <v>57</v>
      </c>
      <c r="C79" s="38">
        <v>41187</v>
      </c>
      <c r="D79" s="39">
        <v>0.59236111111111112</v>
      </c>
      <c r="E79" s="8">
        <v>3.29</v>
      </c>
      <c r="F79" s="32" t="str">
        <f t="shared" si="4"/>
        <v>Yes</v>
      </c>
      <c r="G79" s="32" t="str">
        <f t="shared" si="5"/>
        <v>Yes</v>
      </c>
      <c r="H79" s="40" t="str">
        <f t="shared" si="6"/>
        <v>Yes</v>
      </c>
      <c r="I79" s="41">
        <f t="shared" si="7"/>
        <v>4</v>
      </c>
    </row>
    <row r="80" spans="2:9" x14ac:dyDescent="0.25">
      <c r="B80" s="14" t="s">
        <v>57</v>
      </c>
      <c r="C80" s="38">
        <v>41187</v>
      </c>
      <c r="D80" s="39">
        <v>0.64374999999999993</v>
      </c>
      <c r="E80" s="8">
        <v>1.4</v>
      </c>
      <c r="F80" s="32" t="str">
        <f t="shared" si="4"/>
        <v>Yes</v>
      </c>
      <c r="G80" s="32" t="str">
        <f t="shared" si="5"/>
        <v>Yes</v>
      </c>
      <c r="H80" s="40" t="str">
        <f t="shared" si="6"/>
        <v>Yes</v>
      </c>
      <c r="I80" s="41">
        <f t="shared" si="7"/>
        <v>2</v>
      </c>
    </row>
    <row r="81" spans="2:9" x14ac:dyDescent="0.25">
      <c r="B81" s="14" t="s">
        <v>57</v>
      </c>
      <c r="C81" s="38">
        <v>41187</v>
      </c>
      <c r="D81" s="39">
        <v>0.65833333333333333</v>
      </c>
      <c r="E81" s="8">
        <v>0.4</v>
      </c>
      <c r="F81" s="32" t="str">
        <f t="shared" si="4"/>
        <v>Yes</v>
      </c>
      <c r="G81" s="32" t="str">
        <f t="shared" si="5"/>
        <v>Yes</v>
      </c>
      <c r="H81" s="40" t="str">
        <f t="shared" si="6"/>
        <v>Yes</v>
      </c>
      <c r="I81" s="41">
        <f t="shared" si="7"/>
        <v>1</v>
      </c>
    </row>
    <row r="82" spans="2:9" x14ac:dyDescent="0.25">
      <c r="B82" s="14" t="s">
        <v>57</v>
      </c>
      <c r="C82" s="38">
        <v>41187</v>
      </c>
      <c r="D82" s="39">
        <v>0.66666666666666663</v>
      </c>
      <c r="E82" s="8">
        <v>0.09</v>
      </c>
      <c r="F82" s="32" t="str">
        <f t="shared" si="4"/>
        <v>Yes</v>
      </c>
      <c r="G82" s="32" t="str">
        <f t="shared" si="5"/>
        <v>Yes</v>
      </c>
      <c r="H82" s="40" t="str">
        <f t="shared" si="6"/>
        <v>Yes</v>
      </c>
      <c r="I82" s="41">
        <f t="shared" si="7"/>
        <v>1</v>
      </c>
    </row>
    <row r="83" spans="2:9" x14ac:dyDescent="0.25">
      <c r="B83" s="14" t="s">
        <v>57</v>
      </c>
      <c r="C83" s="38">
        <v>41187</v>
      </c>
      <c r="D83" s="39">
        <v>0.67499999999999993</v>
      </c>
      <c r="E83" s="8">
        <v>0.34</v>
      </c>
      <c r="F83" s="32" t="str">
        <f t="shared" si="4"/>
        <v>Yes</v>
      </c>
      <c r="G83" s="32" t="str">
        <f t="shared" si="5"/>
        <v>Yes</v>
      </c>
      <c r="H83" s="40" t="str">
        <f t="shared" si="6"/>
        <v>Yes</v>
      </c>
      <c r="I83" s="41">
        <f t="shared" si="7"/>
        <v>1</v>
      </c>
    </row>
    <row r="84" spans="2:9" x14ac:dyDescent="0.25">
      <c r="B84" s="14" t="s">
        <v>57</v>
      </c>
      <c r="C84" s="38">
        <v>41187</v>
      </c>
      <c r="D84" s="39">
        <v>0.69027777777777777</v>
      </c>
      <c r="E84" s="8">
        <v>2.1</v>
      </c>
      <c r="F84" s="32" t="str">
        <f t="shared" si="4"/>
        <v>Yes</v>
      </c>
      <c r="G84" s="32" t="str">
        <f t="shared" si="5"/>
        <v>Yes</v>
      </c>
      <c r="H84" s="40" t="str">
        <f t="shared" si="6"/>
        <v>Yes</v>
      </c>
      <c r="I84" s="41">
        <f t="shared" si="7"/>
        <v>3</v>
      </c>
    </row>
    <row r="85" spans="2:9" x14ac:dyDescent="0.25">
      <c r="B85" s="14" t="s">
        <v>57</v>
      </c>
      <c r="C85" s="38">
        <v>41187</v>
      </c>
      <c r="D85" s="39">
        <v>0.70486111111111116</v>
      </c>
      <c r="E85" s="8">
        <v>3.76</v>
      </c>
      <c r="F85" s="32" t="str">
        <f t="shared" si="4"/>
        <v>Yes</v>
      </c>
      <c r="G85" s="32" t="str">
        <f t="shared" si="5"/>
        <v>Yes</v>
      </c>
      <c r="H85" s="40" t="str">
        <f t="shared" si="6"/>
        <v>Yes</v>
      </c>
      <c r="I85" s="41">
        <f t="shared" si="7"/>
        <v>4</v>
      </c>
    </row>
    <row r="86" spans="2:9" x14ac:dyDescent="0.25">
      <c r="B86" s="14" t="s">
        <v>57</v>
      </c>
      <c r="C86" s="38">
        <v>41187</v>
      </c>
      <c r="D86" s="39">
        <v>0.73749999999999993</v>
      </c>
      <c r="E86" s="8">
        <v>1</v>
      </c>
      <c r="F86" s="32" t="str">
        <f t="shared" si="4"/>
        <v>Yes</v>
      </c>
      <c r="G86" s="32" t="str">
        <f t="shared" si="5"/>
        <v>Yes</v>
      </c>
      <c r="H86" s="40" t="str">
        <f t="shared" si="6"/>
        <v>Yes</v>
      </c>
      <c r="I86" s="41">
        <f t="shared" si="7"/>
        <v>1</v>
      </c>
    </row>
    <row r="87" spans="2:9" x14ac:dyDescent="0.25">
      <c r="B87" s="14" t="s">
        <v>57</v>
      </c>
      <c r="C87" s="38">
        <v>41187</v>
      </c>
      <c r="D87" s="39">
        <v>0.77916666666666667</v>
      </c>
      <c r="E87" s="8">
        <v>1.96</v>
      </c>
      <c r="F87" s="32" t="str">
        <f t="shared" si="4"/>
        <v>Yes</v>
      </c>
      <c r="G87" s="32" t="str">
        <f t="shared" si="5"/>
        <v>Yes</v>
      </c>
      <c r="H87" s="40" t="str">
        <f t="shared" si="6"/>
        <v>Yes</v>
      </c>
      <c r="I87" s="41">
        <f t="shared" si="7"/>
        <v>2</v>
      </c>
    </row>
    <row r="88" spans="2:9" x14ac:dyDescent="0.25">
      <c r="B88" s="14" t="s">
        <v>57</v>
      </c>
      <c r="C88" s="38">
        <v>41187</v>
      </c>
      <c r="D88" s="39">
        <v>0.79861111111111116</v>
      </c>
      <c r="E88" s="8">
        <v>2.5</v>
      </c>
      <c r="F88" s="32" t="str">
        <f t="shared" si="4"/>
        <v>Yes</v>
      </c>
      <c r="G88" s="32" t="str">
        <f t="shared" si="5"/>
        <v>No</v>
      </c>
      <c r="H88" s="40" t="str">
        <f t="shared" si="6"/>
        <v>No</v>
      </c>
      <c r="I88" s="41">
        <f t="shared" si="7"/>
        <v>3</v>
      </c>
    </row>
    <row r="89" spans="2:9" x14ac:dyDescent="0.25">
      <c r="B89" s="14" t="s">
        <v>58</v>
      </c>
      <c r="C89" s="38">
        <v>41188</v>
      </c>
      <c r="D89" s="39">
        <v>0.39999999999999997</v>
      </c>
      <c r="E89" s="8">
        <v>0.82</v>
      </c>
      <c r="F89" s="32" t="str">
        <f t="shared" si="4"/>
        <v>No</v>
      </c>
      <c r="G89" s="32" t="str">
        <f t="shared" si="5"/>
        <v>Yes</v>
      </c>
      <c r="H89" s="40" t="str">
        <f t="shared" si="6"/>
        <v>No</v>
      </c>
      <c r="I89" s="41">
        <f t="shared" si="7"/>
        <v>1</v>
      </c>
    </row>
    <row r="90" spans="2:9" x14ac:dyDescent="0.25">
      <c r="B90" s="14" t="s">
        <v>58</v>
      </c>
      <c r="C90" s="38">
        <v>41188</v>
      </c>
      <c r="D90" s="39">
        <v>0.42569444444444443</v>
      </c>
      <c r="E90" s="8">
        <v>2.73</v>
      </c>
      <c r="F90" s="32" t="str">
        <f t="shared" si="4"/>
        <v>No</v>
      </c>
      <c r="G90" s="32" t="str">
        <f t="shared" si="5"/>
        <v>Yes</v>
      </c>
      <c r="H90" s="40" t="str">
        <f t="shared" si="6"/>
        <v>No</v>
      </c>
      <c r="I90" s="41">
        <f t="shared" si="7"/>
        <v>3</v>
      </c>
    </row>
    <row r="91" spans="2:9" x14ac:dyDescent="0.25">
      <c r="B91" s="14" t="s">
        <v>58</v>
      </c>
      <c r="C91" s="38">
        <v>41188</v>
      </c>
      <c r="D91" s="39">
        <v>0.45416666666666666</v>
      </c>
      <c r="E91" s="8">
        <v>0.22</v>
      </c>
      <c r="F91" s="32" t="str">
        <f t="shared" si="4"/>
        <v>No</v>
      </c>
      <c r="G91" s="32" t="str">
        <f t="shared" si="5"/>
        <v>Yes</v>
      </c>
      <c r="H91" s="40" t="str">
        <f t="shared" si="6"/>
        <v>No</v>
      </c>
      <c r="I91" s="41">
        <f t="shared" si="7"/>
        <v>1</v>
      </c>
    </row>
    <row r="92" spans="2:9" x14ac:dyDescent="0.25">
      <c r="B92" s="14" t="s">
        <v>58</v>
      </c>
      <c r="C92" s="38">
        <v>41188</v>
      </c>
      <c r="D92" s="39">
        <v>0.4694444444444445</v>
      </c>
      <c r="E92" s="8">
        <v>5.0999999999999996</v>
      </c>
      <c r="F92" s="32" t="str">
        <f t="shared" si="4"/>
        <v>No</v>
      </c>
      <c r="G92" s="32" t="str">
        <f t="shared" si="5"/>
        <v>Yes</v>
      </c>
      <c r="H92" s="40" t="str">
        <f t="shared" si="6"/>
        <v>No</v>
      </c>
      <c r="I92" s="41">
        <f t="shared" si="7"/>
        <v>6</v>
      </c>
    </row>
    <row r="93" spans="2:9" x14ac:dyDescent="0.25">
      <c r="B93" s="14" t="s">
        <v>58</v>
      </c>
      <c r="C93" s="38">
        <v>41188</v>
      </c>
      <c r="D93" s="39">
        <v>0.50486111111111109</v>
      </c>
      <c r="E93" s="8">
        <v>0.83</v>
      </c>
      <c r="F93" s="32" t="str">
        <f t="shared" si="4"/>
        <v>No</v>
      </c>
      <c r="G93" s="32" t="str">
        <f t="shared" si="5"/>
        <v>Yes</v>
      </c>
      <c r="H93" s="40" t="str">
        <f t="shared" si="6"/>
        <v>No</v>
      </c>
      <c r="I93" s="41">
        <f t="shared" si="7"/>
        <v>1</v>
      </c>
    </row>
    <row r="94" spans="2:9" x14ac:dyDescent="0.25">
      <c r="B94" s="14" t="s">
        <v>58</v>
      </c>
      <c r="C94" s="38">
        <v>41188</v>
      </c>
      <c r="D94" s="39">
        <v>0.5131944444444444</v>
      </c>
      <c r="E94" s="8">
        <v>4.2</v>
      </c>
      <c r="F94" s="32" t="str">
        <f t="shared" si="4"/>
        <v>No</v>
      </c>
      <c r="G94" s="32" t="str">
        <f t="shared" si="5"/>
        <v>Yes</v>
      </c>
      <c r="H94" s="40" t="str">
        <f t="shared" si="6"/>
        <v>No</v>
      </c>
      <c r="I94" s="41">
        <f t="shared" si="7"/>
        <v>5</v>
      </c>
    </row>
    <row r="95" spans="2:9" x14ac:dyDescent="0.25">
      <c r="B95" s="14" t="s">
        <v>58</v>
      </c>
      <c r="C95" s="38">
        <v>41188</v>
      </c>
      <c r="D95" s="39">
        <v>0.54236111111111118</v>
      </c>
      <c r="E95" s="8">
        <v>97.4</v>
      </c>
      <c r="F95" s="32" t="str">
        <f t="shared" si="4"/>
        <v>No</v>
      </c>
      <c r="G95" s="32" t="str">
        <f t="shared" si="5"/>
        <v>Yes</v>
      </c>
      <c r="H95" s="40" t="str">
        <f t="shared" si="6"/>
        <v>No</v>
      </c>
      <c r="I95" s="41">
        <f t="shared" si="7"/>
        <v>98</v>
      </c>
    </row>
    <row r="96" spans="2:9" x14ac:dyDescent="0.25">
      <c r="B96" s="14" t="s">
        <v>58</v>
      </c>
      <c r="C96" s="38">
        <v>41188</v>
      </c>
      <c r="D96" s="39">
        <v>0.61527777777777781</v>
      </c>
      <c r="E96" s="8">
        <v>1.42</v>
      </c>
      <c r="F96" s="32" t="str">
        <f t="shared" si="4"/>
        <v>No</v>
      </c>
      <c r="G96" s="32" t="str">
        <f t="shared" si="5"/>
        <v>Yes</v>
      </c>
      <c r="H96" s="40" t="str">
        <f t="shared" si="6"/>
        <v>No</v>
      </c>
      <c r="I96" s="41">
        <f t="shared" si="7"/>
        <v>2</v>
      </c>
    </row>
    <row r="97" spans="2:9" x14ac:dyDescent="0.25">
      <c r="B97" s="14" t="s">
        <v>58</v>
      </c>
      <c r="C97" s="38">
        <v>41188</v>
      </c>
      <c r="D97" s="39">
        <v>0.62708333333333333</v>
      </c>
      <c r="E97" s="8">
        <v>0.2</v>
      </c>
      <c r="F97" s="32" t="str">
        <f t="shared" si="4"/>
        <v>No</v>
      </c>
      <c r="G97" s="32" t="str">
        <f t="shared" si="5"/>
        <v>Yes</v>
      </c>
      <c r="H97" s="40" t="str">
        <f t="shared" si="6"/>
        <v>No</v>
      </c>
      <c r="I97" s="41">
        <f t="shared" si="7"/>
        <v>1</v>
      </c>
    </row>
    <row r="98" spans="2:9" x14ac:dyDescent="0.25">
      <c r="B98" s="14" t="s">
        <v>58</v>
      </c>
      <c r="C98" s="38">
        <v>41188</v>
      </c>
      <c r="D98" s="39">
        <v>0.63124999999999998</v>
      </c>
      <c r="E98" s="8">
        <v>3.27</v>
      </c>
      <c r="F98" s="32" t="str">
        <f t="shared" si="4"/>
        <v>No</v>
      </c>
      <c r="G98" s="32" t="str">
        <f t="shared" si="5"/>
        <v>Yes</v>
      </c>
      <c r="H98" s="40" t="str">
        <f t="shared" si="6"/>
        <v>No</v>
      </c>
      <c r="I98" s="41">
        <f t="shared" si="7"/>
        <v>4</v>
      </c>
    </row>
    <row r="99" spans="2:9" x14ac:dyDescent="0.25">
      <c r="B99" s="14" t="s">
        <v>58</v>
      </c>
      <c r="C99" s="38">
        <v>41188</v>
      </c>
      <c r="D99" s="39">
        <v>0.65902777777777777</v>
      </c>
      <c r="E99" s="8">
        <v>0.67</v>
      </c>
      <c r="F99" s="32" t="str">
        <f t="shared" si="4"/>
        <v>No</v>
      </c>
      <c r="G99" s="32" t="str">
        <f t="shared" si="5"/>
        <v>Yes</v>
      </c>
      <c r="H99" s="40" t="str">
        <f t="shared" si="6"/>
        <v>No</v>
      </c>
      <c r="I99" s="41">
        <f t="shared" si="7"/>
        <v>1</v>
      </c>
    </row>
    <row r="100" spans="2:9" x14ac:dyDescent="0.25">
      <c r="B100" s="14" t="s">
        <v>58</v>
      </c>
      <c r="C100" s="38">
        <v>41188</v>
      </c>
      <c r="D100" s="39">
        <v>0.67986111111111114</v>
      </c>
      <c r="E100" s="8">
        <v>0.09</v>
      </c>
      <c r="F100" s="32" t="str">
        <f t="shared" si="4"/>
        <v>No</v>
      </c>
      <c r="G100" s="32" t="str">
        <f t="shared" si="5"/>
        <v>Yes</v>
      </c>
      <c r="H100" s="40" t="str">
        <f t="shared" si="6"/>
        <v>No</v>
      </c>
      <c r="I100" s="41">
        <f t="shared" si="7"/>
        <v>1</v>
      </c>
    </row>
    <row r="101" spans="2:9" x14ac:dyDescent="0.25">
      <c r="B101" s="14" t="s">
        <v>58</v>
      </c>
      <c r="C101" s="38">
        <v>41188</v>
      </c>
      <c r="D101" s="39">
        <v>0.68541666666666667</v>
      </c>
      <c r="E101" s="8">
        <v>1.59</v>
      </c>
      <c r="F101" s="32" t="str">
        <f t="shared" si="4"/>
        <v>No</v>
      </c>
      <c r="G101" s="32" t="str">
        <f t="shared" si="5"/>
        <v>Yes</v>
      </c>
      <c r="H101" s="40" t="str">
        <f t="shared" si="6"/>
        <v>No</v>
      </c>
      <c r="I101" s="41">
        <f t="shared" si="7"/>
        <v>2</v>
      </c>
    </row>
    <row r="102" spans="2:9" x14ac:dyDescent="0.25">
      <c r="B102" s="14" t="s">
        <v>58</v>
      </c>
      <c r="C102" s="38">
        <v>41188</v>
      </c>
      <c r="D102" s="39">
        <v>0.70138888888888884</v>
      </c>
      <c r="E102" s="8">
        <v>1.2</v>
      </c>
      <c r="F102" s="32" t="str">
        <f t="shared" si="4"/>
        <v>No</v>
      </c>
      <c r="G102" s="32" t="str">
        <f t="shared" si="5"/>
        <v>Yes</v>
      </c>
      <c r="H102" s="40" t="str">
        <f t="shared" si="6"/>
        <v>No</v>
      </c>
      <c r="I102" s="41">
        <f t="shared" si="7"/>
        <v>2</v>
      </c>
    </row>
    <row r="103" spans="2:9" x14ac:dyDescent="0.25">
      <c r="B103" s="14" t="s">
        <v>58</v>
      </c>
      <c r="C103" s="38">
        <v>41188</v>
      </c>
      <c r="D103" s="39">
        <v>0.72222222222222221</v>
      </c>
      <c r="E103" s="8">
        <v>2.5299999999999998</v>
      </c>
      <c r="F103" s="32" t="str">
        <f t="shared" si="4"/>
        <v>No</v>
      </c>
      <c r="G103" s="32" t="str">
        <f t="shared" si="5"/>
        <v>Yes</v>
      </c>
      <c r="H103" s="40" t="str">
        <f t="shared" si="6"/>
        <v>No</v>
      </c>
      <c r="I103" s="41">
        <f t="shared" si="7"/>
        <v>3</v>
      </c>
    </row>
    <row r="104" spans="2:9" x14ac:dyDescent="0.25">
      <c r="B104" s="14" t="s">
        <v>58</v>
      </c>
      <c r="C104" s="38">
        <v>41188</v>
      </c>
      <c r="D104" s="39">
        <v>0.74861111111111101</v>
      </c>
      <c r="E104" s="8">
        <v>0.49</v>
      </c>
      <c r="F104" s="32" t="str">
        <f t="shared" si="4"/>
        <v>No</v>
      </c>
      <c r="G104" s="32" t="str">
        <f t="shared" si="5"/>
        <v>Yes</v>
      </c>
      <c r="H104" s="40" t="str">
        <f t="shared" si="6"/>
        <v>No</v>
      </c>
      <c r="I104" s="41">
        <f t="shared" si="7"/>
        <v>1</v>
      </c>
    </row>
    <row r="105" spans="2:9" x14ac:dyDescent="0.25">
      <c r="B105" s="14" t="s">
        <v>58</v>
      </c>
      <c r="C105" s="38">
        <v>41188</v>
      </c>
      <c r="D105" s="39">
        <v>0.76388888888888884</v>
      </c>
      <c r="E105" s="8">
        <v>0.5</v>
      </c>
      <c r="F105" s="32" t="str">
        <f t="shared" si="4"/>
        <v>No</v>
      </c>
      <c r="G105" s="32" t="str">
        <f t="shared" si="5"/>
        <v>Yes</v>
      </c>
      <c r="H105" s="40" t="str">
        <f t="shared" si="6"/>
        <v>No</v>
      </c>
      <c r="I105" s="41">
        <f t="shared" si="7"/>
        <v>1</v>
      </c>
    </row>
    <row r="106" spans="2:9" x14ac:dyDescent="0.25">
      <c r="B106" s="14" t="s">
        <v>58</v>
      </c>
      <c r="C106" s="38">
        <v>41188</v>
      </c>
      <c r="D106" s="39">
        <v>0.77083333333333337</v>
      </c>
      <c r="E106" s="8">
        <v>2.37</v>
      </c>
      <c r="F106" s="32" t="str">
        <f t="shared" si="4"/>
        <v>No</v>
      </c>
      <c r="G106" s="32" t="str">
        <f t="shared" si="5"/>
        <v>Yes</v>
      </c>
      <c r="H106" s="40" t="str">
        <f t="shared" si="6"/>
        <v>No</v>
      </c>
      <c r="I106" s="41">
        <f t="shared" si="7"/>
        <v>3</v>
      </c>
    </row>
    <row r="107" spans="2:9" x14ac:dyDescent="0.25">
      <c r="B107" s="14" t="s">
        <v>58</v>
      </c>
      <c r="C107" s="38">
        <v>41188</v>
      </c>
      <c r="D107" s="39">
        <v>0.80138888888888893</v>
      </c>
      <c r="E107" s="8">
        <v>0.17</v>
      </c>
      <c r="F107" s="32" t="str">
        <f t="shared" si="4"/>
        <v>No</v>
      </c>
      <c r="G107" s="32" t="str">
        <f t="shared" si="5"/>
        <v>No</v>
      </c>
      <c r="H107" s="40" t="str">
        <f t="shared" si="6"/>
        <v>No</v>
      </c>
      <c r="I107" s="41">
        <f t="shared" si="7"/>
        <v>1</v>
      </c>
    </row>
    <row r="108" spans="2:9" x14ac:dyDescent="0.25">
      <c r="B108" s="14" t="s">
        <v>58</v>
      </c>
      <c r="C108" s="38">
        <v>41188</v>
      </c>
      <c r="D108" s="39">
        <v>0.81666666666666676</v>
      </c>
      <c r="E108" s="8">
        <v>1.47</v>
      </c>
      <c r="F108" s="32" t="str">
        <f t="shared" si="4"/>
        <v>No</v>
      </c>
      <c r="G108" s="32" t="str">
        <f t="shared" si="5"/>
        <v>No</v>
      </c>
      <c r="H108" s="40" t="str">
        <f t="shared" si="6"/>
        <v>No</v>
      </c>
      <c r="I108" s="41">
        <f t="shared" si="7"/>
        <v>2</v>
      </c>
    </row>
    <row r="109" spans="2:9" x14ac:dyDescent="0.25">
      <c r="B109" s="14" t="s">
        <v>58</v>
      </c>
      <c r="C109" s="38">
        <v>41188</v>
      </c>
      <c r="D109" s="39">
        <v>0.83958333333333324</v>
      </c>
      <c r="E109" s="8">
        <v>1.45</v>
      </c>
      <c r="F109" s="32" t="str">
        <f t="shared" si="4"/>
        <v>No</v>
      </c>
      <c r="G109" s="32" t="str">
        <f t="shared" si="5"/>
        <v>No</v>
      </c>
      <c r="H109" s="40" t="str">
        <f t="shared" si="6"/>
        <v>No</v>
      </c>
      <c r="I109" s="41">
        <f t="shared" si="7"/>
        <v>2</v>
      </c>
    </row>
    <row r="110" spans="2:9" x14ac:dyDescent="0.25">
      <c r="B110" s="14" t="s">
        <v>58</v>
      </c>
      <c r="C110" s="38">
        <v>41188</v>
      </c>
      <c r="D110" s="39">
        <v>0.85972222222222217</v>
      </c>
      <c r="E110" s="8">
        <v>2.78</v>
      </c>
      <c r="F110" s="32" t="str">
        <f t="shared" si="4"/>
        <v>No</v>
      </c>
      <c r="G110" s="32" t="str">
        <f t="shared" si="5"/>
        <v>No</v>
      </c>
      <c r="H110" s="40" t="str">
        <f t="shared" si="6"/>
        <v>No</v>
      </c>
      <c r="I110" s="41">
        <f t="shared" si="7"/>
        <v>3</v>
      </c>
    </row>
    <row r="111" spans="2:9" x14ac:dyDescent="0.25">
      <c r="B111" s="14" t="s">
        <v>59</v>
      </c>
      <c r="C111" s="38">
        <v>41189</v>
      </c>
      <c r="D111" s="39">
        <v>0.37986111111111115</v>
      </c>
      <c r="E111" s="8">
        <v>0.05</v>
      </c>
      <c r="F111" s="32" t="str">
        <f t="shared" si="4"/>
        <v>No</v>
      </c>
      <c r="G111" s="32" t="str">
        <f t="shared" si="5"/>
        <v>Yes</v>
      </c>
      <c r="H111" s="40" t="str">
        <f t="shared" si="6"/>
        <v>No</v>
      </c>
      <c r="I111" s="41">
        <f t="shared" si="7"/>
        <v>1</v>
      </c>
    </row>
    <row r="112" spans="2:9" x14ac:dyDescent="0.25">
      <c r="B112" s="14" t="s">
        <v>59</v>
      </c>
      <c r="C112" s="38">
        <v>41189</v>
      </c>
      <c r="D112" s="39">
        <v>0.38194444444444442</v>
      </c>
      <c r="E112" s="8">
        <v>0.11</v>
      </c>
      <c r="F112" s="32" t="str">
        <f t="shared" si="4"/>
        <v>No</v>
      </c>
      <c r="G112" s="32" t="str">
        <f t="shared" si="5"/>
        <v>Yes</v>
      </c>
      <c r="H112" s="40" t="str">
        <f t="shared" si="6"/>
        <v>No</v>
      </c>
      <c r="I112" s="41">
        <f t="shared" si="7"/>
        <v>1</v>
      </c>
    </row>
    <row r="113" spans="2:9" x14ac:dyDescent="0.25">
      <c r="B113" s="14" t="s">
        <v>59</v>
      </c>
      <c r="C113" s="38">
        <v>41189</v>
      </c>
      <c r="D113" s="39">
        <v>0.38472222222222219</v>
      </c>
      <c r="E113" s="8">
        <v>0.44</v>
      </c>
      <c r="F113" s="32" t="str">
        <f t="shared" si="4"/>
        <v>No</v>
      </c>
      <c r="G113" s="32" t="str">
        <f t="shared" si="5"/>
        <v>Yes</v>
      </c>
      <c r="H113" s="40" t="str">
        <f t="shared" si="6"/>
        <v>No</v>
      </c>
      <c r="I113" s="41">
        <f t="shared" si="7"/>
        <v>1</v>
      </c>
    </row>
    <row r="114" spans="2:9" x14ac:dyDescent="0.25">
      <c r="B114" s="14" t="s">
        <v>59</v>
      </c>
      <c r="C114" s="38">
        <v>41189</v>
      </c>
      <c r="D114" s="39">
        <v>0.3923611111111111</v>
      </c>
      <c r="E114" s="8">
        <v>2.1800000000000002</v>
      </c>
      <c r="F114" s="32" t="str">
        <f t="shared" si="4"/>
        <v>No</v>
      </c>
      <c r="G114" s="32" t="str">
        <f t="shared" si="5"/>
        <v>Yes</v>
      </c>
      <c r="H114" s="40" t="str">
        <f t="shared" si="6"/>
        <v>No</v>
      </c>
      <c r="I114" s="41">
        <f t="shared" si="7"/>
        <v>3</v>
      </c>
    </row>
    <row r="115" spans="2:9" x14ac:dyDescent="0.25">
      <c r="B115" s="14" t="s">
        <v>59</v>
      </c>
      <c r="C115" s="38">
        <v>41189</v>
      </c>
      <c r="D115" s="39">
        <v>0.40902777777777777</v>
      </c>
      <c r="E115" s="8">
        <v>0.15</v>
      </c>
      <c r="F115" s="32" t="str">
        <f t="shared" si="4"/>
        <v>No</v>
      </c>
      <c r="G115" s="32" t="str">
        <f t="shared" si="5"/>
        <v>Yes</v>
      </c>
      <c r="H115" s="40" t="str">
        <f t="shared" si="6"/>
        <v>No</v>
      </c>
      <c r="I115" s="41">
        <f t="shared" si="7"/>
        <v>1</v>
      </c>
    </row>
    <row r="116" spans="2:9" x14ac:dyDescent="0.25">
      <c r="B116" s="14" t="s">
        <v>59</v>
      </c>
      <c r="C116" s="38">
        <v>41189</v>
      </c>
      <c r="D116" s="39">
        <v>0.41111111111111115</v>
      </c>
      <c r="E116" s="8">
        <v>1.1499999999999999</v>
      </c>
      <c r="F116" s="32" t="str">
        <f t="shared" si="4"/>
        <v>No</v>
      </c>
      <c r="G116" s="32" t="str">
        <f t="shared" si="5"/>
        <v>Yes</v>
      </c>
      <c r="H116" s="40" t="str">
        <f t="shared" si="6"/>
        <v>No</v>
      </c>
      <c r="I116" s="41">
        <f t="shared" si="7"/>
        <v>2</v>
      </c>
    </row>
    <row r="117" spans="2:9" x14ac:dyDescent="0.25">
      <c r="B117" s="14" t="s">
        <v>59</v>
      </c>
      <c r="C117" s="38">
        <v>41189</v>
      </c>
      <c r="D117" s="39">
        <v>0.44027777777777777</v>
      </c>
      <c r="E117" s="8">
        <v>0.18</v>
      </c>
      <c r="F117" s="32" t="str">
        <f t="shared" si="4"/>
        <v>No</v>
      </c>
      <c r="G117" s="32" t="str">
        <f t="shared" si="5"/>
        <v>Yes</v>
      </c>
      <c r="H117" s="40" t="str">
        <f t="shared" si="6"/>
        <v>No</v>
      </c>
      <c r="I117" s="41">
        <f t="shared" si="7"/>
        <v>1</v>
      </c>
    </row>
    <row r="118" spans="2:9" x14ac:dyDescent="0.25">
      <c r="B118" s="14" t="s">
        <v>59</v>
      </c>
      <c r="C118" s="38">
        <v>41189</v>
      </c>
      <c r="D118" s="39">
        <v>0.44444444444444442</v>
      </c>
      <c r="E118" s="8">
        <v>0.83</v>
      </c>
      <c r="F118" s="32" t="str">
        <f t="shared" si="4"/>
        <v>No</v>
      </c>
      <c r="G118" s="32" t="str">
        <f t="shared" si="5"/>
        <v>Yes</v>
      </c>
      <c r="H118" s="40" t="str">
        <f t="shared" si="6"/>
        <v>No</v>
      </c>
      <c r="I118" s="41">
        <f t="shared" si="7"/>
        <v>1</v>
      </c>
    </row>
    <row r="119" spans="2:9" x14ac:dyDescent="0.25">
      <c r="B119" s="14" t="s">
        <v>59</v>
      </c>
      <c r="C119" s="38">
        <v>41189</v>
      </c>
      <c r="D119" s="39">
        <v>0.45277777777777778</v>
      </c>
      <c r="E119" s="8">
        <v>1.1599999999999999</v>
      </c>
      <c r="F119" s="32" t="str">
        <f t="shared" si="4"/>
        <v>No</v>
      </c>
      <c r="G119" s="32" t="str">
        <f t="shared" si="5"/>
        <v>Yes</v>
      </c>
      <c r="H119" s="40" t="str">
        <f t="shared" si="6"/>
        <v>No</v>
      </c>
      <c r="I119" s="41">
        <f t="shared" si="7"/>
        <v>2</v>
      </c>
    </row>
    <row r="120" spans="2:9" x14ac:dyDescent="0.25">
      <c r="B120" s="14" t="s">
        <v>59</v>
      </c>
      <c r="C120" s="38">
        <v>41189</v>
      </c>
      <c r="D120" s="39">
        <v>0.49305555555555558</v>
      </c>
      <c r="E120" s="8">
        <v>0.01</v>
      </c>
      <c r="F120" s="32" t="str">
        <f t="shared" si="4"/>
        <v>No</v>
      </c>
      <c r="G120" s="32" t="str">
        <f t="shared" si="5"/>
        <v>Yes</v>
      </c>
      <c r="H120" s="40" t="str">
        <f t="shared" si="6"/>
        <v>No</v>
      </c>
      <c r="I120" s="41">
        <f t="shared" si="7"/>
        <v>1</v>
      </c>
    </row>
    <row r="121" spans="2:9" x14ac:dyDescent="0.25">
      <c r="B121" s="14" t="s">
        <v>59</v>
      </c>
      <c r="C121" s="38">
        <v>41189</v>
      </c>
      <c r="D121" s="39">
        <v>0.49305555555555558</v>
      </c>
      <c r="E121" s="8">
        <v>0.06</v>
      </c>
      <c r="F121" s="32" t="str">
        <f t="shared" si="4"/>
        <v>No</v>
      </c>
      <c r="G121" s="32" t="str">
        <f t="shared" si="5"/>
        <v>Yes</v>
      </c>
      <c r="H121" s="40" t="str">
        <f t="shared" si="6"/>
        <v>No</v>
      </c>
      <c r="I121" s="41">
        <f t="shared" si="7"/>
        <v>1</v>
      </c>
    </row>
    <row r="122" spans="2:9" x14ac:dyDescent="0.25">
      <c r="B122" s="14" t="s">
        <v>59</v>
      </c>
      <c r="C122" s="38">
        <v>41189</v>
      </c>
      <c r="D122" s="39">
        <v>0.49513888888888885</v>
      </c>
      <c r="E122" s="8">
        <v>2.6</v>
      </c>
      <c r="F122" s="32" t="str">
        <f t="shared" si="4"/>
        <v>No</v>
      </c>
      <c r="G122" s="32" t="str">
        <f t="shared" si="5"/>
        <v>Yes</v>
      </c>
      <c r="H122" s="40" t="str">
        <f t="shared" si="6"/>
        <v>No</v>
      </c>
      <c r="I122" s="41">
        <f t="shared" si="7"/>
        <v>3</v>
      </c>
    </row>
    <row r="123" spans="2:9" x14ac:dyDescent="0.25">
      <c r="B123" s="14" t="s">
        <v>59</v>
      </c>
      <c r="C123" s="38">
        <v>41189</v>
      </c>
      <c r="D123" s="39">
        <v>0.52222222222222225</v>
      </c>
      <c r="E123" s="8">
        <v>0.12</v>
      </c>
      <c r="F123" s="32" t="str">
        <f t="shared" si="4"/>
        <v>No</v>
      </c>
      <c r="G123" s="32" t="str">
        <f t="shared" si="5"/>
        <v>Yes</v>
      </c>
      <c r="H123" s="40" t="str">
        <f t="shared" si="6"/>
        <v>No</v>
      </c>
      <c r="I123" s="41">
        <f t="shared" si="7"/>
        <v>1</v>
      </c>
    </row>
    <row r="124" spans="2:9" x14ac:dyDescent="0.25">
      <c r="B124" s="14" t="s">
        <v>59</v>
      </c>
      <c r="C124" s="38">
        <v>41189</v>
      </c>
      <c r="D124" s="39">
        <v>0.52430555555555558</v>
      </c>
      <c r="E124" s="8">
        <v>2.82</v>
      </c>
      <c r="F124" s="32" t="str">
        <f t="shared" si="4"/>
        <v>No</v>
      </c>
      <c r="G124" s="32" t="str">
        <f t="shared" si="5"/>
        <v>Yes</v>
      </c>
      <c r="H124" s="40" t="str">
        <f t="shared" si="6"/>
        <v>No</v>
      </c>
      <c r="I124" s="41">
        <f t="shared" si="7"/>
        <v>3</v>
      </c>
    </row>
    <row r="125" spans="2:9" x14ac:dyDescent="0.25">
      <c r="B125" s="14" t="s">
        <v>53</v>
      </c>
      <c r="C125" s="38">
        <v>41190</v>
      </c>
      <c r="D125" s="39">
        <v>0.4548611111111111</v>
      </c>
      <c r="E125" s="8">
        <v>0.52</v>
      </c>
      <c r="F125" s="32" t="str">
        <f t="shared" si="4"/>
        <v>Yes</v>
      </c>
      <c r="G125" s="32" t="str">
        <f t="shared" si="5"/>
        <v>Yes</v>
      </c>
      <c r="H125" s="40" t="str">
        <f t="shared" si="6"/>
        <v>Yes</v>
      </c>
      <c r="I125" s="41">
        <f t="shared" si="7"/>
        <v>1</v>
      </c>
    </row>
    <row r="126" spans="2:9" x14ac:dyDescent="0.25">
      <c r="B126" s="14" t="s">
        <v>53</v>
      </c>
      <c r="C126" s="38">
        <v>41190</v>
      </c>
      <c r="D126" s="39">
        <v>0.47291666666666665</v>
      </c>
      <c r="E126" s="8">
        <v>3.3</v>
      </c>
      <c r="F126" s="32" t="str">
        <f t="shared" si="4"/>
        <v>Yes</v>
      </c>
      <c r="G126" s="32" t="str">
        <f t="shared" si="5"/>
        <v>Yes</v>
      </c>
      <c r="H126" s="40" t="str">
        <f t="shared" si="6"/>
        <v>Yes</v>
      </c>
      <c r="I126" s="41">
        <f t="shared" si="7"/>
        <v>4</v>
      </c>
    </row>
    <row r="127" spans="2:9" x14ac:dyDescent="0.25">
      <c r="B127" s="14" t="s">
        <v>53</v>
      </c>
      <c r="C127" s="38">
        <v>41190</v>
      </c>
      <c r="D127" s="39">
        <v>0.49583333333333335</v>
      </c>
      <c r="E127" s="8">
        <v>1.08</v>
      </c>
      <c r="F127" s="32" t="str">
        <f t="shared" si="4"/>
        <v>Yes</v>
      </c>
      <c r="G127" s="32" t="str">
        <f t="shared" si="5"/>
        <v>Yes</v>
      </c>
      <c r="H127" s="40" t="str">
        <f t="shared" si="6"/>
        <v>Yes</v>
      </c>
      <c r="I127" s="41">
        <f t="shared" si="7"/>
        <v>2</v>
      </c>
    </row>
    <row r="128" spans="2:9" x14ac:dyDescent="0.25">
      <c r="B128" s="14" t="s">
        <v>53</v>
      </c>
      <c r="C128" s="38">
        <v>41190</v>
      </c>
      <c r="D128" s="39">
        <v>0.50416666666666665</v>
      </c>
      <c r="E128" s="8">
        <v>0.05</v>
      </c>
      <c r="F128" s="32" t="str">
        <f t="shared" si="4"/>
        <v>Yes</v>
      </c>
      <c r="G128" s="32" t="str">
        <f t="shared" si="5"/>
        <v>Yes</v>
      </c>
      <c r="H128" s="40" t="str">
        <f t="shared" si="6"/>
        <v>Yes</v>
      </c>
      <c r="I128" s="41">
        <f t="shared" si="7"/>
        <v>1</v>
      </c>
    </row>
    <row r="129" spans="2:9" x14ac:dyDescent="0.25">
      <c r="B129" s="14" t="s">
        <v>53</v>
      </c>
      <c r="C129" s="38">
        <v>41190</v>
      </c>
      <c r="D129" s="39">
        <v>0.50555555555555554</v>
      </c>
      <c r="E129" s="8">
        <v>0.14000000000000001</v>
      </c>
      <c r="F129" s="32" t="str">
        <f t="shared" si="4"/>
        <v>Yes</v>
      </c>
      <c r="G129" s="32" t="str">
        <f t="shared" si="5"/>
        <v>Yes</v>
      </c>
      <c r="H129" s="40" t="str">
        <f t="shared" si="6"/>
        <v>Yes</v>
      </c>
      <c r="I129" s="41">
        <f t="shared" si="7"/>
        <v>1</v>
      </c>
    </row>
    <row r="130" spans="2:9" x14ac:dyDescent="0.25">
      <c r="B130" s="14" t="s">
        <v>53</v>
      </c>
      <c r="C130" s="38">
        <v>41190</v>
      </c>
      <c r="D130" s="39">
        <v>0.50694444444444442</v>
      </c>
      <c r="E130" s="8">
        <v>0.02</v>
      </c>
      <c r="F130" s="32" t="str">
        <f t="shared" si="4"/>
        <v>Yes</v>
      </c>
      <c r="G130" s="32" t="str">
        <f t="shared" si="5"/>
        <v>Yes</v>
      </c>
      <c r="H130" s="40" t="str">
        <f t="shared" si="6"/>
        <v>Yes</v>
      </c>
      <c r="I130" s="41">
        <f t="shared" si="7"/>
        <v>1</v>
      </c>
    </row>
    <row r="131" spans="2:9" x14ac:dyDescent="0.25">
      <c r="B131" s="14" t="s">
        <v>53</v>
      </c>
      <c r="C131" s="38">
        <v>41190</v>
      </c>
      <c r="D131" s="39">
        <v>0.50902777777777775</v>
      </c>
      <c r="E131" s="8">
        <v>1.36</v>
      </c>
      <c r="F131" s="32" t="str">
        <f t="shared" si="4"/>
        <v>Yes</v>
      </c>
      <c r="G131" s="32" t="str">
        <f t="shared" si="5"/>
        <v>Yes</v>
      </c>
      <c r="H131" s="40" t="str">
        <f t="shared" si="6"/>
        <v>Yes</v>
      </c>
      <c r="I131" s="41">
        <f t="shared" si="7"/>
        <v>2</v>
      </c>
    </row>
    <row r="132" spans="2:9" x14ac:dyDescent="0.25">
      <c r="B132" s="14" t="s">
        <v>53</v>
      </c>
      <c r="C132" s="38">
        <v>41190</v>
      </c>
      <c r="D132" s="39">
        <v>0.52083333333333337</v>
      </c>
      <c r="E132" s="8">
        <v>1.66</v>
      </c>
      <c r="F132" s="32" t="str">
        <f t="shared" ref="F132:F195" si="8">IF(OR(B132="Sunday",B132="Saturday"),"No","Yes")</f>
        <v>Yes</v>
      </c>
      <c r="G132" s="32" t="str">
        <f t="shared" ref="G132:G195" si="9">IF(D132&lt;0.7916,"Yes","No")</f>
        <v>Yes</v>
      </c>
      <c r="H132" s="40" t="str">
        <f t="shared" ref="H132:H195" si="10">IF(AND(F132="Yes",G132="Yes"),"Yes","No")</f>
        <v>Yes</v>
      </c>
      <c r="I132" s="41">
        <f t="shared" ref="I132:I195" si="11">ROUNDUP(E132,0)</f>
        <v>2</v>
      </c>
    </row>
    <row r="133" spans="2:9" x14ac:dyDescent="0.25">
      <c r="B133" s="14" t="s">
        <v>53</v>
      </c>
      <c r="C133" s="38">
        <v>41190</v>
      </c>
      <c r="D133" s="39">
        <v>0.54097222222222219</v>
      </c>
      <c r="E133" s="8">
        <v>0.13</v>
      </c>
      <c r="F133" s="32" t="str">
        <f t="shared" si="8"/>
        <v>Yes</v>
      </c>
      <c r="G133" s="32" t="str">
        <f t="shared" si="9"/>
        <v>Yes</v>
      </c>
      <c r="H133" s="40" t="str">
        <f t="shared" si="10"/>
        <v>Yes</v>
      </c>
      <c r="I133" s="41">
        <f t="shared" si="11"/>
        <v>1</v>
      </c>
    </row>
    <row r="134" spans="2:9" x14ac:dyDescent="0.25">
      <c r="B134" s="14" t="s">
        <v>53</v>
      </c>
      <c r="C134" s="38">
        <v>41190</v>
      </c>
      <c r="D134" s="39">
        <v>0.54722222222222217</v>
      </c>
      <c r="E134" s="8">
        <v>0.48</v>
      </c>
      <c r="F134" s="32" t="str">
        <f t="shared" si="8"/>
        <v>Yes</v>
      </c>
      <c r="G134" s="32" t="str">
        <f t="shared" si="9"/>
        <v>Yes</v>
      </c>
      <c r="H134" s="40" t="str">
        <f t="shared" si="10"/>
        <v>Yes</v>
      </c>
      <c r="I134" s="41">
        <f t="shared" si="11"/>
        <v>1</v>
      </c>
    </row>
    <row r="135" spans="2:9" x14ac:dyDescent="0.25">
      <c r="B135" s="14" t="s">
        <v>53</v>
      </c>
      <c r="C135" s="38">
        <v>41190</v>
      </c>
      <c r="D135" s="39">
        <v>0.5805555555555556</v>
      </c>
      <c r="E135" s="8">
        <v>0.61</v>
      </c>
      <c r="F135" s="32" t="str">
        <f t="shared" si="8"/>
        <v>Yes</v>
      </c>
      <c r="G135" s="32" t="str">
        <f t="shared" si="9"/>
        <v>Yes</v>
      </c>
      <c r="H135" s="40" t="str">
        <f t="shared" si="10"/>
        <v>Yes</v>
      </c>
      <c r="I135" s="41">
        <f t="shared" si="11"/>
        <v>1</v>
      </c>
    </row>
    <row r="136" spans="2:9" x14ac:dyDescent="0.25">
      <c r="B136" s="14" t="s">
        <v>53</v>
      </c>
      <c r="C136" s="38">
        <v>41190</v>
      </c>
      <c r="D136" s="39">
        <v>0.61041666666666672</v>
      </c>
      <c r="E136" s="8">
        <v>0.06</v>
      </c>
      <c r="F136" s="32" t="str">
        <f t="shared" si="8"/>
        <v>Yes</v>
      </c>
      <c r="G136" s="32" t="str">
        <f t="shared" si="9"/>
        <v>Yes</v>
      </c>
      <c r="H136" s="40" t="str">
        <f t="shared" si="10"/>
        <v>Yes</v>
      </c>
      <c r="I136" s="41">
        <f t="shared" si="11"/>
        <v>1</v>
      </c>
    </row>
    <row r="137" spans="2:9" x14ac:dyDescent="0.25">
      <c r="B137" s="14" t="s">
        <v>53</v>
      </c>
      <c r="C137" s="38">
        <v>41190</v>
      </c>
      <c r="D137" s="39">
        <v>0.61111111111111105</v>
      </c>
      <c r="E137" s="8">
        <v>1.25</v>
      </c>
      <c r="F137" s="32" t="str">
        <f t="shared" si="8"/>
        <v>Yes</v>
      </c>
      <c r="G137" s="32" t="str">
        <f t="shared" si="9"/>
        <v>Yes</v>
      </c>
      <c r="H137" s="40" t="str">
        <f t="shared" si="10"/>
        <v>Yes</v>
      </c>
      <c r="I137" s="41">
        <f t="shared" si="11"/>
        <v>2</v>
      </c>
    </row>
    <row r="138" spans="2:9" x14ac:dyDescent="0.25">
      <c r="B138" s="14" t="s">
        <v>53</v>
      </c>
      <c r="C138" s="38">
        <v>41190</v>
      </c>
      <c r="D138" s="39">
        <v>0.6430555555555556</v>
      </c>
      <c r="E138" s="8">
        <v>0.05</v>
      </c>
      <c r="F138" s="32" t="str">
        <f t="shared" si="8"/>
        <v>Yes</v>
      </c>
      <c r="G138" s="32" t="str">
        <f t="shared" si="9"/>
        <v>Yes</v>
      </c>
      <c r="H138" s="40" t="str">
        <f t="shared" si="10"/>
        <v>Yes</v>
      </c>
      <c r="I138" s="41">
        <f t="shared" si="11"/>
        <v>1</v>
      </c>
    </row>
    <row r="139" spans="2:9" x14ac:dyDescent="0.25">
      <c r="B139" s="14" t="s">
        <v>53</v>
      </c>
      <c r="C139" s="38">
        <v>41190</v>
      </c>
      <c r="D139" s="39">
        <v>0.64722222222222225</v>
      </c>
      <c r="E139" s="8">
        <v>1.99</v>
      </c>
      <c r="F139" s="32" t="str">
        <f t="shared" si="8"/>
        <v>Yes</v>
      </c>
      <c r="G139" s="32" t="str">
        <f t="shared" si="9"/>
        <v>Yes</v>
      </c>
      <c r="H139" s="40" t="str">
        <f t="shared" si="10"/>
        <v>Yes</v>
      </c>
      <c r="I139" s="41">
        <f t="shared" si="11"/>
        <v>2</v>
      </c>
    </row>
    <row r="140" spans="2:9" x14ac:dyDescent="0.25">
      <c r="B140" s="14" t="s">
        <v>53</v>
      </c>
      <c r="C140" s="38">
        <v>41190</v>
      </c>
      <c r="D140" s="39">
        <v>0.67291666666666661</v>
      </c>
      <c r="E140" s="8">
        <v>1.71</v>
      </c>
      <c r="F140" s="32" t="str">
        <f t="shared" si="8"/>
        <v>Yes</v>
      </c>
      <c r="G140" s="32" t="str">
        <f t="shared" si="9"/>
        <v>Yes</v>
      </c>
      <c r="H140" s="40" t="str">
        <f t="shared" si="10"/>
        <v>Yes</v>
      </c>
      <c r="I140" s="41">
        <f t="shared" si="11"/>
        <v>2</v>
      </c>
    </row>
    <row r="141" spans="2:9" x14ac:dyDescent="0.25">
      <c r="B141" s="14" t="s">
        <v>54</v>
      </c>
      <c r="C141" s="38">
        <v>41191</v>
      </c>
      <c r="D141" s="39">
        <v>0.34513888888888888</v>
      </c>
      <c r="E141" s="8">
        <v>2.36</v>
      </c>
      <c r="F141" s="32" t="str">
        <f t="shared" si="8"/>
        <v>Yes</v>
      </c>
      <c r="G141" s="32" t="str">
        <f t="shared" si="9"/>
        <v>Yes</v>
      </c>
      <c r="H141" s="40" t="str">
        <f t="shared" si="10"/>
        <v>Yes</v>
      </c>
      <c r="I141" s="41">
        <f t="shared" si="11"/>
        <v>3</v>
      </c>
    </row>
    <row r="142" spans="2:9" x14ac:dyDescent="0.25">
      <c r="B142" s="14" t="s">
        <v>54</v>
      </c>
      <c r="C142" s="38">
        <v>41191</v>
      </c>
      <c r="D142" s="39">
        <v>0.36319444444444443</v>
      </c>
      <c r="E142" s="8">
        <v>5.8</v>
      </c>
      <c r="F142" s="32" t="str">
        <f t="shared" si="8"/>
        <v>Yes</v>
      </c>
      <c r="G142" s="32" t="str">
        <f t="shared" si="9"/>
        <v>Yes</v>
      </c>
      <c r="H142" s="40" t="str">
        <f t="shared" si="10"/>
        <v>Yes</v>
      </c>
      <c r="I142" s="41">
        <f t="shared" si="11"/>
        <v>6</v>
      </c>
    </row>
    <row r="143" spans="2:9" x14ac:dyDescent="0.25">
      <c r="B143" s="14" t="s">
        <v>54</v>
      </c>
      <c r="C143" s="38">
        <v>41191</v>
      </c>
      <c r="D143" s="39">
        <v>0.40347222222222223</v>
      </c>
      <c r="E143" s="8">
        <v>1.32</v>
      </c>
      <c r="F143" s="32" t="str">
        <f t="shared" si="8"/>
        <v>Yes</v>
      </c>
      <c r="G143" s="32" t="str">
        <f t="shared" si="9"/>
        <v>Yes</v>
      </c>
      <c r="H143" s="40" t="str">
        <f t="shared" si="10"/>
        <v>Yes</v>
      </c>
      <c r="I143" s="41">
        <f t="shared" si="11"/>
        <v>2</v>
      </c>
    </row>
    <row r="144" spans="2:9" x14ac:dyDescent="0.25">
      <c r="B144" s="14" t="s">
        <v>54</v>
      </c>
      <c r="C144" s="38">
        <v>41191</v>
      </c>
      <c r="D144" s="39">
        <v>0.42638888888888887</v>
      </c>
      <c r="E144" s="8">
        <v>3.5</v>
      </c>
      <c r="F144" s="32" t="str">
        <f t="shared" si="8"/>
        <v>Yes</v>
      </c>
      <c r="G144" s="32" t="str">
        <f t="shared" si="9"/>
        <v>Yes</v>
      </c>
      <c r="H144" s="40" t="str">
        <f t="shared" si="10"/>
        <v>Yes</v>
      </c>
      <c r="I144" s="41">
        <f t="shared" si="11"/>
        <v>4</v>
      </c>
    </row>
    <row r="145" spans="2:9" x14ac:dyDescent="0.25">
      <c r="B145" s="14" t="s">
        <v>54</v>
      </c>
      <c r="C145" s="38">
        <v>41191</v>
      </c>
      <c r="D145" s="39">
        <v>0.46111111111111108</v>
      </c>
      <c r="E145" s="8">
        <v>1.96</v>
      </c>
      <c r="F145" s="32" t="str">
        <f t="shared" si="8"/>
        <v>Yes</v>
      </c>
      <c r="G145" s="32" t="str">
        <f t="shared" si="9"/>
        <v>Yes</v>
      </c>
      <c r="H145" s="40" t="str">
        <f t="shared" si="10"/>
        <v>Yes</v>
      </c>
      <c r="I145" s="41">
        <f t="shared" si="11"/>
        <v>2</v>
      </c>
    </row>
    <row r="146" spans="2:9" x14ac:dyDescent="0.25">
      <c r="B146" s="14" t="s">
        <v>54</v>
      </c>
      <c r="C146" s="38">
        <v>41191</v>
      </c>
      <c r="D146" s="39">
        <v>0.4916666666666667</v>
      </c>
      <c r="E146" s="8">
        <v>0.39</v>
      </c>
      <c r="F146" s="32" t="str">
        <f t="shared" si="8"/>
        <v>Yes</v>
      </c>
      <c r="G146" s="32" t="str">
        <f t="shared" si="9"/>
        <v>Yes</v>
      </c>
      <c r="H146" s="40" t="str">
        <f t="shared" si="10"/>
        <v>Yes</v>
      </c>
      <c r="I146" s="41">
        <f t="shared" si="11"/>
        <v>1</v>
      </c>
    </row>
    <row r="147" spans="2:9" x14ac:dyDescent="0.25">
      <c r="B147" s="14" t="s">
        <v>54</v>
      </c>
      <c r="C147" s="38">
        <v>41191</v>
      </c>
      <c r="D147" s="39">
        <v>0.49513888888888885</v>
      </c>
      <c r="E147" s="8">
        <v>0.01</v>
      </c>
      <c r="F147" s="32" t="str">
        <f t="shared" si="8"/>
        <v>Yes</v>
      </c>
      <c r="G147" s="32" t="str">
        <f t="shared" si="9"/>
        <v>Yes</v>
      </c>
      <c r="H147" s="40" t="str">
        <f t="shared" si="10"/>
        <v>Yes</v>
      </c>
      <c r="I147" s="41">
        <f t="shared" si="11"/>
        <v>1</v>
      </c>
    </row>
    <row r="148" spans="2:9" x14ac:dyDescent="0.25">
      <c r="B148" s="14" t="s">
        <v>54</v>
      </c>
      <c r="C148" s="38">
        <v>41191</v>
      </c>
      <c r="D148" s="39">
        <v>0.49513888888888885</v>
      </c>
      <c r="E148" s="8">
        <v>1.46</v>
      </c>
      <c r="F148" s="32" t="str">
        <f t="shared" si="8"/>
        <v>Yes</v>
      </c>
      <c r="G148" s="32" t="str">
        <f t="shared" si="9"/>
        <v>Yes</v>
      </c>
      <c r="H148" s="40" t="str">
        <f t="shared" si="10"/>
        <v>Yes</v>
      </c>
      <c r="I148" s="41">
        <f t="shared" si="11"/>
        <v>2</v>
      </c>
    </row>
    <row r="149" spans="2:9" x14ac:dyDescent="0.25">
      <c r="B149" s="14" t="s">
        <v>54</v>
      </c>
      <c r="C149" s="38">
        <v>41191</v>
      </c>
      <c r="D149" s="39">
        <v>0.51874999999999993</v>
      </c>
      <c r="E149" s="8">
        <v>2.29</v>
      </c>
      <c r="F149" s="32" t="str">
        <f t="shared" si="8"/>
        <v>Yes</v>
      </c>
      <c r="G149" s="32" t="str">
        <f t="shared" si="9"/>
        <v>Yes</v>
      </c>
      <c r="H149" s="40" t="str">
        <f t="shared" si="10"/>
        <v>Yes</v>
      </c>
      <c r="I149" s="41">
        <f t="shared" si="11"/>
        <v>3</v>
      </c>
    </row>
    <row r="150" spans="2:9" x14ac:dyDescent="0.25">
      <c r="B150" s="14" t="s">
        <v>54</v>
      </c>
      <c r="C150" s="38">
        <v>41191</v>
      </c>
      <c r="D150" s="39">
        <v>0.54375000000000007</v>
      </c>
      <c r="E150" s="8">
        <v>0.66</v>
      </c>
      <c r="F150" s="32" t="str">
        <f t="shared" si="8"/>
        <v>Yes</v>
      </c>
      <c r="G150" s="32" t="str">
        <f t="shared" si="9"/>
        <v>Yes</v>
      </c>
      <c r="H150" s="40" t="str">
        <f t="shared" si="10"/>
        <v>Yes</v>
      </c>
      <c r="I150" s="41">
        <f t="shared" si="11"/>
        <v>1</v>
      </c>
    </row>
    <row r="151" spans="2:9" x14ac:dyDescent="0.25">
      <c r="B151" s="14" t="s">
        <v>54</v>
      </c>
      <c r="C151" s="38">
        <v>41191</v>
      </c>
      <c r="D151" s="39">
        <v>0.55138888888888882</v>
      </c>
      <c r="E151" s="8">
        <v>0.47</v>
      </c>
      <c r="F151" s="32" t="str">
        <f t="shared" si="8"/>
        <v>Yes</v>
      </c>
      <c r="G151" s="32" t="str">
        <f t="shared" si="9"/>
        <v>Yes</v>
      </c>
      <c r="H151" s="40" t="str">
        <f t="shared" si="10"/>
        <v>Yes</v>
      </c>
      <c r="I151" s="41">
        <f t="shared" si="11"/>
        <v>1</v>
      </c>
    </row>
    <row r="152" spans="2:9" x14ac:dyDescent="0.25">
      <c r="B152" s="14" t="s">
        <v>54</v>
      </c>
      <c r="C152" s="38">
        <v>41191</v>
      </c>
      <c r="D152" s="39">
        <v>0.56111111111111112</v>
      </c>
      <c r="E152" s="8">
        <v>0.4</v>
      </c>
      <c r="F152" s="32" t="str">
        <f t="shared" si="8"/>
        <v>Yes</v>
      </c>
      <c r="G152" s="32" t="str">
        <f t="shared" si="9"/>
        <v>Yes</v>
      </c>
      <c r="H152" s="40" t="str">
        <f t="shared" si="10"/>
        <v>Yes</v>
      </c>
      <c r="I152" s="41">
        <f t="shared" si="11"/>
        <v>1</v>
      </c>
    </row>
    <row r="153" spans="2:9" x14ac:dyDescent="0.25">
      <c r="B153" s="14" t="s">
        <v>54</v>
      </c>
      <c r="C153" s="38">
        <v>41191</v>
      </c>
      <c r="D153" s="39">
        <v>0.5805555555555556</v>
      </c>
      <c r="E153" s="8">
        <v>1.58</v>
      </c>
      <c r="F153" s="32" t="str">
        <f t="shared" si="8"/>
        <v>Yes</v>
      </c>
      <c r="G153" s="32" t="str">
        <f t="shared" si="9"/>
        <v>Yes</v>
      </c>
      <c r="H153" s="40" t="str">
        <f t="shared" si="10"/>
        <v>Yes</v>
      </c>
      <c r="I153" s="41">
        <f t="shared" si="11"/>
        <v>2</v>
      </c>
    </row>
    <row r="154" spans="2:9" x14ac:dyDescent="0.25">
      <c r="B154" s="14" t="s">
        <v>54</v>
      </c>
      <c r="C154" s="38">
        <v>41191</v>
      </c>
      <c r="D154" s="39">
        <v>0.59375</v>
      </c>
      <c r="E154" s="8">
        <v>1.54</v>
      </c>
      <c r="F154" s="32" t="str">
        <f t="shared" si="8"/>
        <v>Yes</v>
      </c>
      <c r="G154" s="32" t="str">
        <f t="shared" si="9"/>
        <v>Yes</v>
      </c>
      <c r="H154" s="40" t="str">
        <f t="shared" si="10"/>
        <v>Yes</v>
      </c>
      <c r="I154" s="41">
        <f t="shared" si="11"/>
        <v>2</v>
      </c>
    </row>
    <row r="155" spans="2:9" x14ac:dyDescent="0.25">
      <c r="B155" s="14" t="s">
        <v>54</v>
      </c>
      <c r="C155" s="38">
        <v>41191</v>
      </c>
      <c r="D155" s="39">
        <v>0.60902777777777783</v>
      </c>
      <c r="E155" s="8">
        <v>1.33</v>
      </c>
      <c r="F155" s="32" t="str">
        <f t="shared" si="8"/>
        <v>Yes</v>
      </c>
      <c r="G155" s="32" t="str">
        <f t="shared" si="9"/>
        <v>Yes</v>
      </c>
      <c r="H155" s="40" t="str">
        <f t="shared" si="10"/>
        <v>Yes</v>
      </c>
      <c r="I155" s="41">
        <f t="shared" si="11"/>
        <v>2</v>
      </c>
    </row>
    <row r="156" spans="2:9" x14ac:dyDescent="0.25">
      <c r="B156" s="14" t="s">
        <v>54</v>
      </c>
      <c r="C156" s="38">
        <v>41191</v>
      </c>
      <c r="D156" s="39">
        <v>0.62013888888888891</v>
      </c>
      <c r="E156" s="8">
        <v>0.53</v>
      </c>
      <c r="F156" s="32" t="str">
        <f t="shared" si="8"/>
        <v>Yes</v>
      </c>
      <c r="G156" s="32" t="str">
        <f t="shared" si="9"/>
        <v>Yes</v>
      </c>
      <c r="H156" s="40" t="str">
        <f t="shared" si="10"/>
        <v>Yes</v>
      </c>
      <c r="I156" s="41">
        <f t="shared" si="11"/>
        <v>1</v>
      </c>
    </row>
    <row r="157" spans="2:9" x14ac:dyDescent="0.25">
      <c r="B157" s="14" t="s">
        <v>54</v>
      </c>
      <c r="C157" s="38">
        <v>41191</v>
      </c>
      <c r="D157" s="39">
        <v>0.62430555555555556</v>
      </c>
      <c r="E157" s="8">
        <v>3.14</v>
      </c>
      <c r="F157" s="32" t="str">
        <f t="shared" si="8"/>
        <v>Yes</v>
      </c>
      <c r="G157" s="32" t="str">
        <f t="shared" si="9"/>
        <v>Yes</v>
      </c>
      <c r="H157" s="40" t="str">
        <f t="shared" si="10"/>
        <v>Yes</v>
      </c>
      <c r="I157" s="41">
        <f t="shared" si="11"/>
        <v>4</v>
      </c>
    </row>
    <row r="158" spans="2:9" x14ac:dyDescent="0.25">
      <c r="B158" s="14" t="s">
        <v>54</v>
      </c>
      <c r="C158" s="38">
        <v>41191</v>
      </c>
      <c r="D158" s="39">
        <v>0.65972222222222221</v>
      </c>
      <c r="E158" s="8">
        <v>2.2200000000000002</v>
      </c>
      <c r="F158" s="32" t="str">
        <f t="shared" si="8"/>
        <v>Yes</v>
      </c>
      <c r="G158" s="32" t="str">
        <f t="shared" si="9"/>
        <v>Yes</v>
      </c>
      <c r="H158" s="40" t="str">
        <f t="shared" si="10"/>
        <v>Yes</v>
      </c>
      <c r="I158" s="41">
        <f t="shared" si="11"/>
        <v>3</v>
      </c>
    </row>
    <row r="159" spans="2:9" x14ac:dyDescent="0.25">
      <c r="B159" s="14" t="s">
        <v>55</v>
      </c>
      <c r="C159" s="38">
        <v>41192</v>
      </c>
      <c r="D159" s="39">
        <v>0.50624999999999998</v>
      </c>
      <c r="E159" s="8">
        <v>1.31</v>
      </c>
      <c r="F159" s="32" t="str">
        <f t="shared" si="8"/>
        <v>Yes</v>
      </c>
      <c r="G159" s="32" t="str">
        <f t="shared" si="9"/>
        <v>Yes</v>
      </c>
      <c r="H159" s="40" t="str">
        <f t="shared" si="10"/>
        <v>Yes</v>
      </c>
      <c r="I159" s="41">
        <f t="shared" si="11"/>
        <v>2</v>
      </c>
    </row>
    <row r="160" spans="2:9" x14ac:dyDescent="0.25">
      <c r="B160" s="14" t="s">
        <v>55</v>
      </c>
      <c r="C160" s="38">
        <v>41192</v>
      </c>
      <c r="D160" s="39">
        <v>0.51874999999999993</v>
      </c>
      <c r="E160" s="8">
        <v>0.45</v>
      </c>
      <c r="F160" s="32" t="str">
        <f t="shared" si="8"/>
        <v>Yes</v>
      </c>
      <c r="G160" s="32" t="str">
        <f t="shared" si="9"/>
        <v>Yes</v>
      </c>
      <c r="H160" s="40" t="str">
        <f t="shared" si="10"/>
        <v>Yes</v>
      </c>
      <c r="I160" s="41">
        <f t="shared" si="11"/>
        <v>1</v>
      </c>
    </row>
    <row r="161" spans="2:9" x14ac:dyDescent="0.25">
      <c r="B161" s="14" t="s">
        <v>55</v>
      </c>
      <c r="C161" s="38">
        <v>41192</v>
      </c>
      <c r="D161" s="39">
        <v>0.52222222222222225</v>
      </c>
      <c r="E161" s="8">
        <v>0.47</v>
      </c>
      <c r="F161" s="32" t="str">
        <f t="shared" si="8"/>
        <v>Yes</v>
      </c>
      <c r="G161" s="32" t="str">
        <f t="shared" si="9"/>
        <v>Yes</v>
      </c>
      <c r="H161" s="40" t="str">
        <f t="shared" si="10"/>
        <v>Yes</v>
      </c>
      <c r="I161" s="41">
        <f t="shared" si="11"/>
        <v>1</v>
      </c>
    </row>
    <row r="162" spans="2:9" x14ac:dyDescent="0.25">
      <c r="B162" s="14" t="s">
        <v>55</v>
      </c>
      <c r="C162" s="38">
        <v>41192</v>
      </c>
      <c r="D162" s="39">
        <v>0.53680555555555554</v>
      </c>
      <c r="E162" s="8">
        <v>1.6</v>
      </c>
      <c r="F162" s="32" t="str">
        <f t="shared" si="8"/>
        <v>Yes</v>
      </c>
      <c r="G162" s="32" t="str">
        <f t="shared" si="9"/>
        <v>Yes</v>
      </c>
      <c r="H162" s="40" t="str">
        <f t="shared" si="10"/>
        <v>Yes</v>
      </c>
      <c r="I162" s="41">
        <f t="shared" si="11"/>
        <v>2</v>
      </c>
    </row>
    <row r="163" spans="2:9" x14ac:dyDescent="0.25">
      <c r="B163" s="14" t="s">
        <v>55</v>
      </c>
      <c r="C163" s="38">
        <v>41192</v>
      </c>
      <c r="D163" s="39">
        <v>0.57013888888888886</v>
      </c>
      <c r="E163" s="8">
        <v>0.04</v>
      </c>
      <c r="F163" s="32" t="str">
        <f t="shared" si="8"/>
        <v>Yes</v>
      </c>
      <c r="G163" s="32" t="str">
        <f t="shared" si="9"/>
        <v>Yes</v>
      </c>
      <c r="H163" s="40" t="str">
        <f t="shared" si="10"/>
        <v>Yes</v>
      </c>
      <c r="I163" s="41">
        <f t="shared" si="11"/>
        <v>1</v>
      </c>
    </row>
    <row r="164" spans="2:9" x14ac:dyDescent="0.25">
      <c r="B164" s="14" t="s">
        <v>55</v>
      </c>
      <c r="C164" s="38">
        <v>41192</v>
      </c>
      <c r="D164" s="39">
        <v>0.57361111111111118</v>
      </c>
      <c r="E164" s="8">
        <v>0.39</v>
      </c>
      <c r="F164" s="32" t="str">
        <f t="shared" si="8"/>
        <v>Yes</v>
      </c>
      <c r="G164" s="32" t="str">
        <f t="shared" si="9"/>
        <v>Yes</v>
      </c>
      <c r="H164" s="40" t="str">
        <f t="shared" si="10"/>
        <v>Yes</v>
      </c>
      <c r="I164" s="41">
        <f t="shared" si="11"/>
        <v>1</v>
      </c>
    </row>
    <row r="165" spans="2:9" x14ac:dyDescent="0.25">
      <c r="B165" s="14" t="s">
        <v>55</v>
      </c>
      <c r="C165" s="38">
        <v>41192</v>
      </c>
      <c r="D165" s="39">
        <v>0.57708333333333328</v>
      </c>
      <c r="E165" s="8">
        <v>0.77</v>
      </c>
      <c r="F165" s="32" t="str">
        <f t="shared" si="8"/>
        <v>Yes</v>
      </c>
      <c r="G165" s="32" t="str">
        <f t="shared" si="9"/>
        <v>Yes</v>
      </c>
      <c r="H165" s="40" t="str">
        <f t="shared" si="10"/>
        <v>Yes</v>
      </c>
      <c r="I165" s="41">
        <f t="shared" si="11"/>
        <v>1</v>
      </c>
    </row>
    <row r="166" spans="2:9" x14ac:dyDescent="0.25">
      <c r="B166" s="14" t="s">
        <v>55</v>
      </c>
      <c r="C166" s="38">
        <v>41192</v>
      </c>
      <c r="D166" s="39">
        <v>0.5854166666666667</v>
      </c>
      <c r="E166" s="8">
        <v>1.69</v>
      </c>
      <c r="F166" s="32" t="str">
        <f t="shared" si="8"/>
        <v>Yes</v>
      </c>
      <c r="G166" s="32" t="str">
        <f t="shared" si="9"/>
        <v>Yes</v>
      </c>
      <c r="H166" s="40" t="str">
        <f t="shared" si="10"/>
        <v>Yes</v>
      </c>
      <c r="I166" s="41">
        <f t="shared" si="11"/>
        <v>2</v>
      </c>
    </row>
    <row r="167" spans="2:9" x14ac:dyDescent="0.25">
      <c r="B167" s="14" t="s">
        <v>55</v>
      </c>
      <c r="C167" s="38">
        <v>41192</v>
      </c>
      <c r="D167" s="39">
        <v>0.62847222222222221</v>
      </c>
      <c r="E167" s="8">
        <v>0.64</v>
      </c>
      <c r="F167" s="32" t="str">
        <f t="shared" si="8"/>
        <v>Yes</v>
      </c>
      <c r="G167" s="32" t="str">
        <f t="shared" si="9"/>
        <v>Yes</v>
      </c>
      <c r="H167" s="40" t="str">
        <f t="shared" si="10"/>
        <v>Yes</v>
      </c>
      <c r="I167" s="41">
        <f t="shared" si="11"/>
        <v>1</v>
      </c>
    </row>
    <row r="168" spans="2:9" x14ac:dyDescent="0.25">
      <c r="B168" s="14" t="s">
        <v>55</v>
      </c>
      <c r="C168" s="38">
        <v>41192</v>
      </c>
      <c r="D168" s="39">
        <v>0.6333333333333333</v>
      </c>
      <c r="E168" s="8">
        <v>5.53</v>
      </c>
      <c r="F168" s="32" t="str">
        <f t="shared" si="8"/>
        <v>Yes</v>
      </c>
      <c r="G168" s="32" t="str">
        <f t="shared" si="9"/>
        <v>Yes</v>
      </c>
      <c r="H168" s="40" t="str">
        <f t="shared" si="10"/>
        <v>Yes</v>
      </c>
      <c r="I168" s="41">
        <f t="shared" si="11"/>
        <v>6</v>
      </c>
    </row>
    <row r="169" spans="2:9" x14ac:dyDescent="0.25">
      <c r="B169" s="14" t="s">
        <v>55</v>
      </c>
      <c r="C169" s="38">
        <v>41192</v>
      </c>
      <c r="D169" s="39">
        <v>0.68611111111111101</v>
      </c>
      <c r="E169" s="8">
        <v>0.04</v>
      </c>
      <c r="F169" s="32" t="str">
        <f t="shared" si="8"/>
        <v>Yes</v>
      </c>
      <c r="G169" s="32" t="str">
        <f t="shared" si="9"/>
        <v>Yes</v>
      </c>
      <c r="H169" s="40" t="str">
        <f t="shared" si="10"/>
        <v>Yes</v>
      </c>
      <c r="I169" s="41">
        <f t="shared" si="11"/>
        <v>1</v>
      </c>
    </row>
    <row r="170" spans="2:9" x14ac:dyDescent="0.25">
      <c r="B170" s="14" t="s">
        <v>55</v>
      </c>
      <c r="C170" s="38">
        <v>41192</v>
      </c>
      <c r="D170" s="39">
        <v>0.68680555555555556</v>
      </c>
      <c r="E170" s="8">
        <v>0.73</v>
      </c>
      <c r="F170" s="32" t="str">
        <f t="shared" si="8"/>
        <v>Yes</v>
      </c>
      <c r="G170" s="32" t="str">
        <f t="shared" si="9"/>
        <v>Yes</v>
      </c>
      <c r="H170" s="40" t="str">
        <f t="shared" si="10"/>
        <v>Yes</v>
      </c>
      <c r="I170" s="41">
        <f t="shared" si="11"/>
        <v>1</v>
      </c>
    </row>
    <row r="171" spans="2:9" x14ac:dyDescent="0.25">
      <c r="B171" s="14" t="s">
        <v>55</v>
      </c>
      <c r="C171" s="38">
        <v>41192</v>
      </c>
      <c r="D171" s="39">
        <v>0.70208333333333339</v>
      </c>
      <c r="E171" s="8">
        <v>0.6</v>
      </c>
      <c r="F171" s="32" t="str">
        <f t="shared" si="8"/>
        <v>Yes</v>
      </c>
      <c r="G171" s="32" t="str">
        <f t="shared" si="9"/>
        <v>Yes</v>
      </c>
      <c r="H171" s="40" t="str">
        <f t="shared" si="10"/>
        <v>Yes</v>
      </c>
      <c r="I171" s="41">
        <f t="shared" si="11"/>
        <v>1</v>
      </c>
    </row>
    <row r="172" spans="2:9" x14ac:dyDescent="0.25">
      <c r="B172" s="14" t="s">
        <v>55</v>
      </c>
      <c r="C172" s="38">
        <v>41192</v>
      </c>
      <c r="D172" s="39">
        <v>0.71180555555555547</v>
      </c>
      <c r="E172" s="8">
        <v>0.98</v>
      </c>
      <c r="F172" s="32" t="str">
        <f t="shared" si="8"/>
        <v>Yes</v>
      </c>
      <c r="G172" s="32" t="str">
        <f t="shared" si="9"/>
        <v>Yes</v>
      </c>
      <c r="H172" s="40" t="str">
        <f t="shared" si="10"/>
        <v>Yes</v>
      </c>
      <c r="I172" s="41">
        <f t="shared" si="11"/>
        <v>1</v>
      </c>
    </row>
    <row r="173" spans="2:9" x14ac:dyDescent="0.25">
      <c r="B173" s="14" t="s">
        <v>55</v>
      </c>
      <c r="C173" s="38">
        <v>41192</v>
      </c>
      <c r="D173" s="39">
        <v>0.71944444444444444</v>
      </c>
      <c r="E173" s="8">
        <v>0.74</v>
      </c>
      <c r="F173" s="32" t="str">
        <f t="shared" si="8"/>
        <v>Yes</v>
      </c>
      <c r="G173" s="32" t="str">
        <f t="shared" si="9"/>
        <v>Yes</v>
      </c>
      <c r="H173" s="40" t="str">
        <f t="shared" si="10"/>
        <v>Yes</v>
      </c>
      <c r="I173" s="41">
        <f t="shared" si="11"/>
        <v>1</v>
      </c>
    </row>
    <row r="174" spans="2:9" x14ac:dyDescent="0.25">
      <c r="B174" s="14" t="s">
        <v>55</v>
      </c>
      <c r="C174" s="38">
        <v>41192</v>
      </c>
      <c r="D174" s="39">
        <v>0.7416666666666667</v>
      </c>
      <c r="E174" s="8">
        <v>30.5</v>
      </c>
      <c r="F174" s="32" t="str">
        <f t="shared" si="8"/>
        <v>Yes</v>
      </c>
      <c r="G174" s="32" t="str">
        <f t="shared" si="9"/>
        <v>Yes</v>
      </c>
      <c r="H174" s="40" t="str">
        <f t="shared" si="10"/>
        <v>Yes</v>
      </c>
      <c r="I174" s="41">
        <f t="shared" si="11"/>
        <v>31</v>
      </c>
    </row>
    <row r="175" spans="2:9" x14ac:dyDescent="0.25">
      <c r="B175" s="14" t="s">
        <v>55</v>
      </c>
      <c r="C175" s="38">
        <v>41192</v>
      </c>
      <c r="D175" s="39">
        <v>0.78402777777777777</v>
      </c>
      <c r="E175" s="8">
        <v>0.32</v>
      </c>
      <c r="F175" s="32" t="str">
        <f t="shared" si="8"/>
        <v>Yes</v>
      </c>
      <c r="G175" s="32" t="str">
        <f t="shared" si="9"/>
        <v>Yes</v>
      </c>
      <c r="H175" s="40" t="str">
        <f t="shared" si="10"/>
        <v>Yes</v>
      </c>
      <c r="I175" s="41">
        <f t="shared" si="11"/>
        <v>1</v>
      </c>
    </row>
    <row r="176" spans="2:9" x14ac:dyDescent="0.25">
      <c r="B176" s="14" t="s">
        <v>55</v>
      </c>
      <c r="C176" s="38">
        <v>41192</v>
      </c>
      <c r="D176" s="39">
        <v>0.8041666666666667</v>
      </c>
      <c r="E176" s="8">
        <v>2.58</v>
      </c>
      <c r="F176" s="32" t="str">
        <f t="shared" si="8"/>
        <v>Yes</v>
      </c>
      <c r="G176" s="32" t="str">
        <f t="shared" si="9"/>
        <v>No</v>
      </c>
      <c r="H176" s="40" t="str">
        <f t="shared" si="10"/>
        <v>No</v>
      </c>
      <c r="I176" s="41">
        <f t="shared" si="11"/>
        <v>3</v>
      </c>
    </row>
    <row r="177" spans="2:9" x14ac:dyDescent="0.25">
      <c r="B177" s="14" t="s">
        <v>56</v>
      </c>
      <c r="C177" s="38">
        <v>41193</v>
      </c>
      <c r="D177" s="39">
        <v>0.4770833333333333</v>
      </c>
      <c r="E177" s="8">
        <v>0.43</v>
      </c>
      <c r="F177" s="32" t="str">
        <f t="shared" si="8"/>
        <v>Yes</v>
      </c>
      <c r="G177" s="32" t="str">
        <f t="shared" si="9"/>
        <v>Yes</v>
      </c>
      <c r="H177" s="40" t="str">
        <f t="shared" si="10"/>
        <v>Yes</v>
      </c>
      <c r="I177" s="41">
        <f t="shared" si="11"/>
        <v>1</v>
      </c>
    </row>
    <row r="178" spans="2:9" x14ac:dyDescent="0.25">
      <c r="B178" s="14" t="s">
        <v>56</v>
      </c>
      <c r="C178" s="38">
        <v>41193</v>
      </c>
      <c r="D178" s="39">
        <v>0.50416666666666665</v>
      </c>
      <c r="E178" s="8">
        <v>3</v>
      </c>
      <c r="F178" s="32" t="str">
        <f t="shared" si="8"/>
        <v>Yes</v>
      </c>
      <c r="G178" s="32" t="str">
        <f t="shared" si="9"/>
        <v>Yes</v>
      </c>
      <c r="H178" s="40" t="str">
        <f t="shared" si="10"/>
        <v>Yes</v>
      </c>
      <c r="I178" s="41">
        <f t="shared" si="11"/>
        <v>3</v>
      </c>
    </row>
    <row r="179" spans="2:9" x14ac:dyDescent="0.25">
      <c r="B179" s="14" t="s">
        <v>56</v>
      </c>
      <c r="C179" s="38">
        <v>41193</v>
      </c>
      <c r="D179" s="39">
        <v>0.5805555555555556</v>
      </c>
      <c r="E179" s="8">
        <v>0.84</v>
      </c>
      <c r="F179" s="32" t="str">
        <f t="shared" si="8"/>
        <v>Yes</v>
      </c>
      <c r="G179" s="32" t="str">
        <f t="shared" si="9"/>
        <v>Yes</v>
      </c>
      <c r="H179" s="40" t="str">
        <f t="shared" si="10"/>
        <v>Yes</v>
      </c>
      <c r="I179" s="41">
        <f t="shared" si="11"/>
        <v>1</v>
      </c>
    </row>
    <row r="180" spans="2:9" x14ac:dyDescent="0.25">
      <c r="B180" s="14" t="s">
        <v>56</v>
      </c>
      <c r="C180" s="38">
        <v>41193</v>
      </c>
      <c r="D180" s="39">
        <v>0.59027777777777779</v>
      </c>
      <c r="E180" s="8">
        <v>0.52</v>
      </c>
      <c r="F180" s="32" t="str">
        <f t="shared" si="8"/>
        <v>Yes</v>
      </c>
      <c r="G180" s="32" t="str">
        <f t="shared" si="9"/>
        <v>Yes</v>
      </c>
      <c r="H180" s="40" t="str">
        <f t="shared" si="10"/>
        <v>Yes</v>
      </c>
      <c r="I180" s="41">
        <f t="shared" si="11"/>
        <v>1</v>
      </c>
    </row>
    <row r="181" spans="2:9" x14ac:dyDescent="0.25">
      <c r="B181" s="14" t="s">
        <v>56</v>
      </c>
      <c r="C181" s="38">
        <v>41193</v>
      </c>
      <c r="D181" s="39">
        <v>0.63402777777777775</v>
      </c>
      <c r="E181" s="8">
        <v>1.92</v>
      </c>
      <c r="F181" s="32" t="str">
        <f t="shared" si="8"/>
        <v>Yes</v>
      </c>
      <c r="G181" s="32" t="str">
        <f t="shared" si="9"/>
        <v>Yes</v>
      </c>
      <c r="H181" s="40" t="str">
        <f t="shared" si="10"/>
        <v>Yes</v>
      </c>
      <c r="I181" s="41">
        <f t="shared" si="11"/>
        <v>2</v>
      </c>
    </row>
    <row r="182" spans="2:9" x14ac:dyDescent="0.25">
      <c r="B182" s="14" t="s">
        <v>56</v>
      </c>
      <c r="C182" s="38">
        <v>41193</v>
      </c>
      <c r="D182" s="39">
        <v>0.65069444444444446</v>
      </c>
      <c r="E182" s="8">
        <v>0.42</v>
      </c>
      <c r="F182" s="32" t="str">
        <f t="shared" si="8"/>
        <v>Yes</v>
      </c>
      <c r="G182" s="32" t="str">
        <f t="shared" si="9"/>
        <v>Yes</v>
      </c>
      <c r="H182" s="40" t="str">
        <f t="shared" si="10"/>
        <v>Yes</v>
      </c>
      <c r="I182" s="41">
        <f t="shared" si="11"/>
        <v>1</v>
      </c>
    </row>
    <row r="183" spans="2:9" x14ac:dyDescent="0.25">
      <c r="B183" s="14" t="s">
        <v>56</v>
      </c>
      <c r="C183" s="38">
        <v>41193</v>
      </c>
      <c r="D183" s="39">
        <v>0.65763888888888888</v>
      </c>
      <c r="E183" s="8">
        <v>2.44</v>
      </c>
      <c r="F183" s="32" t="str">
        <f t="shared" si="8"/>
        <v>Yes</v>
      </c>
      <c r="G183" s="32" t="str">
        <f t="shared" si="9"/>
        <v>Yes</v>
      </c>
      <c r="H183" s="40" t="str">
        <f t="shared" si="10"/>
        <v>Yes</v>
      </c>
      <c r="I183" s="41">
        <f t="shared" si="11"/>
        <v>3</v>
      </c>
    </row>
    <row r="184" spans="2:9" x14ac:dyDescent="0.25">
      <c r="B184" s="14" t="s">
        <v>56</v>
      </c>
      <c r="C184" s="38">
        <v>41193</v>
      </c>
      <c r="D184" s="39">
        <v>0.68819444444444444</v>
      </c>
      <c r="E184" s="8">
        <v>3.24</v>
      </c>
      <c r="F184" s="32" t="str">
        <f t="shared" si="8"/>
        <v>Yes</v>
      </c>
      <c r="G184" s="32" t="str">
        <f t="shared" si="9"/>
        <v>Yes</v>
      </c>
      <c r="H184" s="40" t="str">
        <f t="shared" si="10"/>
        <v>Yes</v>
      </c>
      <c r="I184" s="41">
        <f t="shared" si="11"/>
        <v>4</v>
      </c>
    </row>
    <row r="185" spans="2:9" x14ac:dyDescent="0.25">
      <c r="B185" s="14" t="s">
        <v>56</v>
      </c>
      <c r="C185" s="38">
        <v>41193</v>
      </c>
      <c r="D185" s="39">
        <v>0.73888888888888893</v>
      </c>
      <c r="E185" s="8">
        <v>1.75</v>
      </c>
      <c r="F185" s="32" t="str">
        <f t="shared" si="8"/>
        <v>Yes</v>
      </c>
      <c r="G185" s="32" t="str">
        <f t="shared" si="9"/>
        <v>Yes</v>
      </c>
      <c r="H185" s="40" t="str">
        <f t="shared" si="10"/>
        <v>Yes</v>
      </c>
      <c r="I185" s="41">
        <f t="shared" si="11"/>
        <v>2</v>
      </c>
    </row>
    <row r="186" spans="2:9" x14ac:dyDescent="0.25">
      <c r="B186" s="14" t="s">
        <v>56</v>
      </c>
      <c r="C186" s="38">
        <v>41193</v>
      </c>
      <c r="D186" s="39">
        <v>0.76527777777777783</v>
      </c>
      <c r="E186" s="8">
        <v>1.58</v>
      </c>
      <c r="F186" s="32" t="str">
        <f t="shared" si="8"/>
        <v>Yes</v>
      </c>
      <c r="G186" s="32" t="str">
        <f t="shared" si="9"/>
        <v>Yes</v>
      </c>
      <c r="H186" s="40" t="str">
        <f t="shared" si="10"/>
        <v>Yes</v>
      </c>
      <c r="I186" s="41">
        <f t="shared" si="11"/>
        <v>2</v>
      </c>
    </row>
    <row r="187" spans="2:9" x14ac:dyDescent="0.25">
      <c r="B187" s="14" t="s">
        <v>56</v>
      </c>
      <c r="C187" s="38">
        <v>41193</v>
      </c>
      <c r="D187" s="39">
        <v>0.79375000000000007</v>
      </c>
      <c r="E187" s="8">
        <v>0.9</v>
      </c>
      <c r="F187" s="32" t="str">
        <f t="shared" si="8"/>
        <v>Yes</v>
      </c>
      <c r="G187" s="32" t="str">
        <f t="shared" si="9"/>
        <v>No</v>
      </c>
      <c r="H187" s="40" t="str">
        <f t="shared" si="10"/>
        <v>No</v>
      </c>
      <c r="I187" s="41">
        <f t="shared" si="11"/>
        <v>1</v>
      </c>
    </row>
    <row r="188" spans="2:9" x14ac:dyDescent="0.25">
      <c r="B188" s="14" t="s">
        <v>56</v>
      </c>
      <c r="C188" s="38">
        <v>41193</v>
      </c>
      <c r="D188" s="39">
        <v>0.80625000000000002</v>
      </c>
      <c r="E188" s="8">
        <v>0.31</v>
      </c>
      <c r="F188" s="32" t="str">
        <f t="shared" si="8"/>
        <v>Yes</v>
      </c>
      <c r="G188" s="32" t="str">
        <f t="shared" si="9"/>
        <v>No</v>
      </c>
      <c r="H188" s="40" t="str">
        <f t="shared" si="10"/>
        <v>No</v>
      </c>
      <c r="I188" s="41">
        <f t="shared" si="11"/>
        <v>1</v>
      </c>
    </row>
    <row r="189" spans="2:9" x14ac:dyDescent="0.25">
      <c r="B189" s="14" t="s">
        <v>56</v>
      </c>
      <c r="C189" s="38">
        <v>41193</v>
      </c>
      <c r="D189" s="39">
        <v>0.81319444444444444</v>
      </c>
      <c r="E189" s="8">
        <v>1.87</v>
      </c>
      <c r="F189" s="32" t="str">
        <f t="shared" si="8"/>
        <v>Yes</v>
      </c>
      <c r="G189" s="32" t="str">
        <f t="shared" si="9"/>
        <v>No</v>
      </c>
      <c r="H189" s="40" t="str">
        <f t="shared" si="10"/>
        <v>No</v>
      </c>
      <c r="I189" s="41">
        <f t="shared" si="11"/>
        <v>2</v>
      </c>
    </row>
    <row r="190" spans="2:9" x14ac:dyDescent="0.25">
      <c r="B190" s="14" t="s">
        <v>56</v>
      </c>
      <c r="C190" s="38">
        <v>41193</v>
      </c>
      <c r="D190" s="39">
        <v>0.82986111111111116</v>
      </c>
      <c r="E190" s="8">
        <v>2.42</v>
      </c>
      <c r="F190" s="32" t="str">
        <f t="shared" si="8"/>
        <v>Yes</v>
      </c>
      <c r="G190" s="32" t="str">
        <f t="shared" si="9"/>
        <v>No</v>
      </c>
      <c r="H190" s="40" t="str">
        <f t="shared" si="10"/>
        <v>No</v>
      </c>
      <c r="I190" s="41">
        <f t="shared" si="11"/>
        <v>3</v>
      </c>
    </row>
    <row r="191" spans="2:9" x14ac:dyDescent="0.25">
      <c r="B191" s="14" t="s">
        <v>56</v>
      </c>
      <c r="C191" s="38">
        <v>41193</v>
      </c>
      <c r="D191" s="39">
        <v>0.85625000000000007</v>
      </c>
      <c r="E191" s="8">
        <v>1.85</v>
      </c>
      <c r="F191" s="32" t="str">
        <f t="shared" si="8"/>
        <v>Yes</v>
      </c>
      <c r="G191" s="32" t="str">
        <f t="shared" si="9"/>
        <v>No</v>
      </c>
      <c r="H191" s="40" t="str">
        <f t="shared" si="10"/>
        <v>No</v>
      </c>
      <c r="I191" s="41">
        <f t="shared" si="11"/>
        <v>2</v>
      </c>
    </row>
    <row r="192" spans="2:9" x14ac:dyDescent="0.25">
      <c r="B192" s="14" t="s">
        <v>56</v>
      </c>
      <c r="C192" s="38">
        <v>41193</v>
      </c>
      <c r="D192" s="39">
        <v>0.90763888888888899</v>
      </c>
      <c r="E192" s="8">
        <v>3.54</v>
      </c>
      <c r="F192" s="32" t="str">
        <f t="shared" si="8"/>
        <v>Yes</v>
      </c>
      <c r="G192" s="32" t="str">
        <f t="shared" si="9"/>
        <v>No</v>
      </c>
      <c r="H192" s="40" t="str">
        <f t="shared" si="10"/>
        <v>No</v>
      </c>
      <c r="I192" s="41">
        <f t="shared" si="11"/>
        <v>4</v>
      </c>
    </row>
    <row r="193" spans="2:9" x14ac:dyDescent="0.25">
      <c r="B193" s="14" t="s">
        <v>56</v>
      </c>
      <c r="C193" s="38">
        <v>41193</v>
      </c>
      <c r="D193" s="39">
        <v>0.93958333333333333</v>
      </c>
      <c r="E193" s="8">
        <v>1.03</v>
      </c>
      <c r="F193" s="32" t="str">
        <f t="shared" si="8"/>
        <v>Yes</v>
      </c>
      <c r="G193" s="32" t="str">
        <f t="shared" si="9"/>
        <v>No</v>
      </c>
      <c r="H193" s="40" t="str">
        <f t="shared" si="10"/>
        <v>No</v>
      </c>
      <c r="I193" s="41">
        <f t="shared" si="11"/>
        <v>2</v>
      </c>
    </row>
    <row r="194" spans="2:9" x14ac:dyDescent="0.25">
      <c r="B194" s="14" t="s">
        <v>56</v>
      </c>
      <c r="C194" s="38">
        <v>41193</v>
      </c>
      <c r="D194" s="39">
        <v>0.98611111111111116</v>
      </c>
      <c r="E194" s="8">
        <v>0.53</v>
      </c>
      <c r="F194" s="32" t="str">
        <f t="shared" si="8"/>
        <v>Yes</v>
      </c>
      <c r="G194" s="32" t="str">
        <f t="shared" si="9"/>
        <v>No</v>
      </c>
      <c r="H194" s="40" t="str">
        <f t="shared" si="10"/>
        <v>No</v>
      </c>
      <c r="I194" s="41">
        <f t="shared" si="11"/>
        <v>1</v>
      </c>
    </row>
    <row r="195" spans="2:9" x14ac:dyDescent="0.25">
      <c r="B195" s="14" t="s">
        <v>56</v>
      </c>
      <c r="C195" s="38">
        <v>41193</v>
      </c>
      <c r="D195" s="39">
        <v>1.0194444444444444</v>
      </c>
      <c r="E195" s="8">
        <v>0.51</v>
      </c>
      <c r="F195" s="32" t="str">
        <f t="shared" si="8"/>
        <v>Yes</v>
      </c>
      <c r="G195" s="32" t="str">
        <f t="shared" si="9"/>
        <v>No</v>
      </c>
      <c r="H195" s="40" t="str">
        <f t="shared" si="10"/>
        <v>No</v>
      </c>
      <c r="I195" s="41">
        <f t="shared" si="11"/>
        <v>1</v>
      </c>
    </row>
    <row r="196" spans="2:9" x14ac:dyDescent="0.25">
      <c r="B196" s="14" t="s">
        <v>56</v>
      </c>
      <c r="C196" s="38">
        <v>41193</v>
      </c>
      <c r="D196" s="39">
        <v>1.0687499999999999</v>
      </c>
      <c r="E196" s="8">
        <v>1.81</v>
      </c>
      <c r="F196" s="32" t="str">
        <f t="shared" ref="F196:F259" si="12">IF(OR(B196="Sunday",B196="Saturday"),"No","Yes")</f>
        <v>Yes</v>
      </c>
      <c r="G196" s="32" t="str">
        <f t="shared" ref="G196:G259" si="13">IF(D196&lt;0.7916,"Yes","No")</f>
        <v>No</v>
      </c>
      <c r="H196" s="40" t="str">
        <f t="shared" ref="H196:H259" si="14">IF(AND(F196="Yes",G196="Yes"),"Yes","No")</f>
        <v>No</v>
      </c>
      <c r="I196" s="41">
        <f t="shared" ref="I196:I259" si="15">ROUNDUP(E196,0)</f>
        <v>2</v>
      </c>
    </row>
    <row r="197" spans="2:9" x14ac:dyDescent="0.25">
      <c r="B197" s="14" t="s">
        <v>56</v>
      </c>
      <c r="C197" s="38">
        <v>41193</v>
      </c>
      <c r="D197" s="39">
        <v>1.0902777777777779</v>
      </c>
      <c r="E197" s="8">
        <v>1.51</v>
      </c>
      <c r="F197" s="32" t="str">
        <f t="shared" si="12"/>
        <v>Yes</v>
      </c>
      <c r="G197" s="32" t="str">
        <f t="shared" si="13"/>
        <v>No</v>
      </c>
      <c r="H197" s="40" t="str">
        <f t="shared" si="14"/>
        <v>No</v>
      </c>
      <c r="I197" s="41">
        <f t="shared" si="15"/>
        <v>2</v>
      </c>
    </row>
    <row r="198" spans="2:9" x14ac:dyDescent="0.25">
      <c r="B198" s="14" t="s">
        <v>56</v>
      </c>
      <c r="C198" s="38">
        <v>41193</v>
      </c>
      <c r="D198" s="39">
        <v>1.1138888888888889</v>
      </c>
      <c r="E198" s="8">
        <v>1.67</v>
      </c>
      <c r="F198" s="32" t="str">
        <f t="shared" si="12"/>
        <v>Yes</v>
      </c>
      <c r="G198" s="32" t="str">
        <f t="shared" si="13"/>
        <v>No</v>
      </c>
      <c r="H198" s="40" t="str">
        <f t="shared" si="14"/>
        <v>No</v>
      </c>
      <c r="I198" s="41">
        <f t="shared" si="15"/>
        <v>2</v>
      </c>
    </row>
    <row r="199" spans="2:9" x14ac:dyDescent="0.25">
      <c r="B199" s="14" t="s">
        <v>57</v>
      </c>
      <c r="C199" s="38">
        <v>41194</v>
      </c>
      <c r="D199" s="39">
        <v>0.44513888888888892</v>
      </c>
      <c r="E199" s="8">
        <v>1.29</v>
      </c>
      <c r="F199" s="32" t="str">
        <f t="shared" si="12"/>
        <v>Yes</v>
      </c>
      <c r="G199" s="32" t="str">
        <f t="shared" si="13"/>
        <v>Yes</v>
      </c>
      <c r="H199" s="40" t="str">
        <f t="shared" si="14"/>
        <v>Yes</v>
      </c>
      <c r="I199" s="41">
        <f t="shared" si="15"/>
        <v>2</v>
      </c>
    </row>
    <row r="200" spans="2:9" x14ac:dyDescent="0.25">
      <c r="B200" s="14" t="s">
        <v>57</v>
      </c>
      <c r="C200" s="38">
        <v>41194</v>
      </c>
      <c r="D200" s="39">
        <v>0.47500000000000003</v>
      </c>
      <c r="E200" s="8">
        <v>3.02</v>
      </c>
      <c r="F200" s="32" t="str">
        <f t="shared" si="12"/>
        <v>Yes</v>
      </c>
      <c r="G200" s="32" t="str">
        <f t="shared" si="13"/>
        <v>Yes</v>
      </c>
      <c r="H200" s="40" t="str">
        <f t="shared" si="14"/>
        <v>Yes</v>
      </c>
      <c r="I200" s="41">
        <f t="shared" si="15"/>
        <v>4</v>
      </c>
    </row>
    <row r="201" spans="2:9" x14ac:dyDescent="0.25">
      <c r="B201" s="14" t="s">
        <v>57</v>
      </c>
      <c r="C201" s="38">
        <v>41194</v>
      </c>
      <c r="D201" s="39">
        <v>0.50902777777777775</v>
      </c>
      <c r="E201" s="8">
        <v>5</v>
      </c>
      <c r="F201" s="32" t="str">
        <f t="shared" si="12"/>
        <v>Yes</v>
      </c>
      <c r="G201" s="32" t="str">
        <f t="shared" si="13"/>
        <v>Yes</v>
      </c>
      <c r="H201" s="40" t="str">
        <f t="shared" si="14"/>
        <v>Yes</v>
      </c>
      <c r="I201" s="41">
        <f t="shared" si="15"/>
        <v>5</v>
      </c>
    </row>
    <row r="202" spans="2:9" x14ac:dyDescent="0.25">
      <c r="B202" s="14" t="s">
        <v>57</v>
      </c>
      <c r="C202" s="38">
        <v>41194</v>
      </c>
      <c r="D202" s="39">
        <v>0.56111111111111112</v>
      </c>
      <c r="E202" s="8">
        <v>0.56999999999999995</v>
      </c>
      <c r="F202" s="32" t="str">
        <f t="shared" si="12"/>
        <v>Yes</v>
      </c>
      <c r="G202" s="32" t="str">
        <f t="shared" si="13"/>
        <v>Yes</v>
      </c>
      <c r="H202" s="40" t="str">
        <f t="shared" si="14"/>
        <v>Yes</v>
      </c>
      <c r="I202" s="41">
        <f t="shared" si="15"/>
        <v>1</v>
      </c>
    </row>
    <row r="203" spans="2:9" x14ac:dyDescent="0.25">
      <c r="B203" s="14" t="s">
        <v>57</v>
      </c>
      <c r="C203" s="38">
        <v>41194</v>
      </c>
      <c r="D203" s="39">
        <v>0.58888888888888891</v>
      </c>
      <c r="E203" s="8">
        <v>5.78</v>
      </c>
      <c r="F203" s="32" t="str">
        <f t="shared" si="12"/>
        <v>Yes</v>
      </c>
      <c r="G203" s="32" t="str">
        <f t="shared" si="13"/>
        <v>Yes</v>
      </c>
      <c r="H203" s="40" t="str">
        <f t="shared" si="14"/>
        <v>Yes</v>
      </c>
      <c r="I203" s="41">
        <f t="shared" si="15"/>
        <v>6</v>
      </c>
    </row>
    <row r="204" spans="2:9" x14ac:dyDescent="0.25">
      <c r="B204" s="14" t="s">
        <v>57</v>
      </c>
      <c r="C204" s="38">
        <v>41194</v>
      </c>
      <c r="D204" s="39">
        <v>0.65763888888888888</v>
      </c>
      <c r="E204" s="8">
        <v>0.21</v>
      </c>
      <c r="F204" s="32" t="str">
        <f t="shared" si="12"/>
        <v>Yes</v>
      </c>
      <c r="G204" s="32" t="str">
        <f t="shared" si="13"/>
        <v>Yes</v>
      </c>
      <c r="H204" s="40" t="str">
        <f t="shared" si="14"/>
        <v>Yes</v>
      </c>
      <c r="I204" s="41">
        <f t="shared" si="15"/>
        <v>1</v>
      </c>
    </row>
    <row r="205" spans="2:9" x14ac:dyDescent="0.25">
      <c r="B205" s="14" t="s">
        <v>57</v>
      </c>
      <c r="C205" s="38">
        <v>41194</v>
      </c>
      <c r="D205" s="39">
        <v>0.67083333333333339</v>
      </c>
      <c r="E205" s="8">
        <v>3.9</v>
      </c>
      <c r="F205" s="32" t="str">
        <f t="shared" si="12"/>
        <v>Yes</v>
      </c>
      <c r="G205" s="32" t="str">
        <f t="shared" si="13"/>
        <v>Yes</v>
      </c>
      <c r="H205" s="40" t="str">
        <f t="shared" si="14"/>
        <v>Yes</v>
      </c>
      <c r="I205" s="41">
        <f t="shared" si="15"/>
        <v>4</v>
      </c>
    </row>
    <row r="206" spans="2:9" x14ac:dyDescent="0.25">
      <c r="B206" s="14" t="s">
        <v>57</v>
      </c>
      <c r="C206" s="38">
        <v>41194</v>
      </c>
      <c r="D206" s="39">
        <v>0.71597222222222223</v>
      </c>
      <c r="E206" s="8">
        <v>0.32</v>
      </c>
      <c r="F206" s="32" t="str">
        <f t="shared" si="12"/>
        <v>Yes</v>
      </c>
      <c r="G206" s="32" t="str">
        <f t="shared" si="13"/>
        <v>Yes</v>
      </c>
      <c r="H206" s="40" t="str">
        <f t="shared" si="14"/>
        <v>Yes</v>
      </c>
      <c r="I206" s="41">
        <f t="shared" si="15"/>
        <v>1</v>
      </c>
    </row>
    <row r="207" spans="2:9" x14ac:dyDescent="0.25">
      <c r="B207" s="14" t="s">
        <v>57</v>
      </c>
      <c r="C207" s="38">
        <v>41194</v>
      </c>
      <c r="D207" s="39">
        <v>0.72638888888888886</v>
      </c>
      <c r="E207" s="8">
        <v>4.76</v>
      </c>
      <c r="F207" s="32" t="str">
        <f t="shared" si="12"/>
        <v>Yes</v>
      </c>
      <c r="G207" s="32" t="str">
        <f t="shared" si="13"/>
        <v>Yes</v>
      </c>
      <c r="H207" s="40" t="str">
        <f t="shared" si="14"/>
        <v>Yes</v>
      </c>
      <c r="I207" s="41">
        <f t="shared" si="15"/>
        <v>5</v>
      </c>
    </row>
    <row r="208" spans="2:9" x14ac:dyDescent="0.25">
      <c r="B208" s="14" t="s">
        <v>57</v>
      </c>
      <c r="C208" s="38">
        <v>41194</v>
      </c>
      <c r="D208" s="39">
        <v>0.77361111111111114</v>
      </c>
      <c r="E208" s="8">
        <v>1.68</v>
      </c>
      <c r="F208" s="32" t="str">
        <f t="shared" si="12"/>
        <v>Yes</v>
      </c>
      <c r="G208" s="32" t="str">
        <f t="shared" si="13"/>
        <v>Yes</v>
      </c>
      <c r="H208" s="40" t="str">
        <f t="shared" si="14"/>
        <v>Yes</v>
      </c>
      <c r="I208" s="41">
        <f t="shared" si="15"/>
        <v>2</v>
      </c>
    </row>
    <row r="209" spans="2:9" x14ac:dyDescent="0.25">
      <c r="B209" s="14" t="s">
        <v>57</v>
      </c>
      <c r="C209" s="38">
        <v>41194</v>
      </c>
      <c r="D209" s="39">
        <v>0.79027777777777775</v>
      </c>
      <c r="E209" s="8">
        <v>2.69</v>
      </c>
      <c r="F209" s="32" t="str">
        <f t="shared" si="12"/>
        <v>Yes</v>
      </c>
      <c r="G209" s="32" t="str">
        <f t="shared" si="13"/>
        <v>Yes</v>
      </c>
      <c r="H209" s="40" t="str">
        <f t="shared" si="14"/>
        <v>Yes</v>
      </c>
      <c r="I209" s="41">
        <f t="shared" si="15"/>
        <v>3</v>
      </c>
    </row>
    <row r="210" spans="2:9" x14ac:dyDescent="0.25">
      <c r="B210" s="14" t="s">
        <v>57</v>
      </c>
      <c r="C210" s="38">
        <v>41194</v>
      </c>
      <c r="D210" s="39">
        <v>0.81597222222222221</v>
      </c>
      <c r="E210" s="8">
        <v>3.32</v>
      </c>
      <c r="F210" s="32" t="str">
        <f t="shared" si="12"/>
        <v>Yes</v>
      </c>
      <c r="G210" s="32" t="str">
        <f t="shared" si="13"/>
        <v>No</v>
      </c>
      <c r="H210" s="40" t="str">
        <f t="shared" si="14"/>
        <v>No</v>
      </c>
      <c r="I210" s="41">
        <f t="shared" si="15"/>
        <v>4</v>
      </c>
    </row>
    <row r="211" spans="2:9" x14ac:dyDescent="0.25">
      <c r="B211" s="14" t="s">
        <v>57</v>
      </c>
      <c r="C211" s="38">
        <v>41194</v>
      </c>
      <c r="D211" s="39">
        <v>0.84930555555555554</v>
      </c>
      <c r="E211" s="8">
        <v>1.72</v>
      </c>
      <c r="F211" s="32" t="str">
        <f t="shared" si="12"/>
        <v>Yes</v>
      </c>
      <c r="G211" s="32" t="str">
        <f t="shared" si="13"/>
        <v>No</v>
      </c>
      <c r="H211" s="40" t="str">
        <f t="shared" si="14"/>
        <v>No</v>
      </c>
      <c r="I211" s="41">
        <f t="shared" si="15"/>
        <v>2</v>
      </c>
    </row>
    <row r="212" spans="2:9" x14ac:dyDescent="0.25">
      <c r="B212" s="14" t="s">
        <v>57</v>
      </c>
      <c r="C212" s="38">
        <v>41194</v>
      </c>
      <c r="D212" s="39">
        <v>0.8652777777777777</v>
      </c>
      <c r="E212" s="8">
        <v>1.29</v>
      </c>
      <c r="F212" s="32" t="str">
        <f t="shared" si="12"/>
        <v>Yes</v>
      </c>
      <c r="G212" s="32" t="str">
        <f t="shared" si="13"/>
        <v>No</v>
      </c>
      <c r="H212" s="40" t="str">
        <f t="shared" si="14"/>
        <v>No</v>
      </c>
      <c r="I212" s="41">
        <f t="shared" si="15"/>
        <v>2</v>
      </c>
    </row>
    <row r="213" spans="2:9" x14ac:dyDescent="0.25">
      <c r="B213" s="14" t="s">
        <v>57</v>
      </c>
      <c r="C213" s="38">
        <v>41194</v>
      </c>
      <c r="D213" s="39">
        <v>0.88680555555555562</v>
      </c>
      <c r="E213" s="8">
        <v>0.72</v>
      </c>
      <c r="F213" s="32" t="str">
        <f t="shared" si="12"/>
        <v>Yes</v>
      </c>
      <c r="G213" s="32" t="str">
        <f t="shared" si="13"/>
        <v>No</v>
      </c>
      <c r="H213" s="40" t="str">
        <f t="shared" si="14"/>
        <v>No</v>
      </c>
      <c r="I213" s="41">
        <f t="shared" si="15"/>
        <v>1</v>
      </c>
    </row>
    <row r="214" spans="2:9" x14ac:dyDescent="0.25">
      <c r="B214" s="14" t="s">
        <v>57</v>
      </c>
      <c r="C214" s="38">
        <v>41194</v>
      </c>
      <c r="D214" s="39">
        <v>0.93680555555555556</v>
      </c>
      <c r="E214" s="8">
        <v>1.45</v>
      </c>
      <c r="F214" s="32" t="str">
        <f t="shared" si="12"/>
        <v>Yes</v>
      </c>
      <c r="G214" s="32" t="str">
        <f t="shared" si="13"/>
        <v>No</v>
      </c>
      <c r="H214" s="40" t="str">
        <f t="shared" si="14"/>
        <v>No</v>
      </c>
      <c r="I214" s="41">
        <f t="shared" si="15"/>
        <v>2</v>
      </c>
    </row>
    <row r="215" spans="2:9" x14ac:dyDescent="0.25">
      <c r="B215" s="14" t="s">
        <v>57</v>
      </c>
      <c r="C215" s="38">
        <v>41194</v>
      </c>
      <c r="D215" s="39">
        <v>0.9555555555555556</v>
      </c>
      <c r="E215" s="8">
        <v>1.54</v>
      </c>
      <c r="F215" s="32" t="str">
        <f t="shared" si="12"/>
        <v>Yes</v>
      </c>
      <c r="G215" s="32" t="str">
        <f t="shared" si="13"/>
        <v>No</v>
      </c>
      <c r="H215" s="40" t="str">
        <f t="shared" si="14"/>
        <v>No</v>
      </c>
      <c r="I215" s="41">
        <f t="shared" si="15"/>
        <v>2</v>
      </c>
    </row>
    <row r="216" spans="2:9" x14ac:dyDescent="0.25">
      <c r="B216" s="14" t="s">
        <v>57</v>
      </c>
      <c r="C216" s="38">
        <v>41194</v>
      </c>
      <c r="D216" s="39">
        <v>0.96944444444444444</v>
      </c>
      <c r="E216" s="8">
        <v>1.5</v>
      </c>
      <c r="F216" s="32" t="str">
        <f t="shared" si="12"/>
        <v>Yes</v>
      </c>
      <c r="G216" s="32" t="str">
        <f t="shared" si="13"/>
        <v>No</v>
      </c>
      <c r="H216" s="40" t="str">
        <f t="shared" si="14"/>
        <v>No</v>
      </c>
      <c r="I216" s="41">
        <f t="shared" si="15"/>
        <v>2</v>
      </c>
    </row>
    <row r="217" spans="2:9" x14ac:dyDescent="0.25">
      <c r="B217" s="14" t="s">
        <v>57</v>
      </c>
      <c r="C217" s="38">
        <v>41194</v>
      </c>
      <c r="D217" s="39">
        <v>1.0180555555555555</v>
      </c>
      <c r="E217" s="8">
        <v>1.67</v>
      </c>
      <c r="F217" s="32" t="str">
        <f t="shared" si="12"/>
        <v>Yes</v>
      </c>
      <c r="G217" s="32" t="str">
        <f t="shared" si="13"/>
        <v>No</v>
      </c>
      <c r="H217" s="40" t="str">
        <f t="shared" si="14"/>
        <v>No</v>
      </c>
      <c r="I217" s="41">
        <f t="shared" si="15"/>
        <v>2</v>
      </c>
    </row>
    <row r="218" spans="2:9" x14ac:dyDescent="0.25">
      <c r="B218" s="14" t="s">
        <v>58</v>
      </c>
      <c r="C218" s="38">
        <v>41195</v>
      </c>
      <c r="D218" s="39">
        <v>0.38194444444444442</v>
      </c>
      <c r="E218" s="8">
        <v>1.8</v>
      </c>
      <c r="F218" s="32" t="str">
        <f t="shared" si="12"/>
        <v>No</v>
      </c>
      <c r="G218" s="32" t="str">
        <f t="shared" si="13"/>
        <v>Yes</v>
      </c>
      <c r="H218" s="40" t="str">
        <f t="shared" si="14"/>
        <v>No</v>
      </c>
      <c r="I218" s="41">
        <f t="shared" si="15"/>
        <v>2</v>
      </c>
    </row>
    <row r="219" spans="2:9" x14ac:dyDescent="0.25">
      <c r="B219" s="14" t="s">
        <v>58</v>
      </c>
      <c r="C219" s="38">
        <v>41195</v>
      </c>
      <c r="D219" s="39">
        <v>0.40138888888888885</v>
      </c>
      <c r="E219" s="8">
        <v>1.54</v>
      </c>
      <c r="F219" s="32" t="str">
        <f t="shared" si="12"/>
        <v>No</v>
      </c>
      <c r="G219" s="32" t="str">
        <f t="shared" si="13"/>
        <v>Yes</v>
      </c>
      <c r="H219" s="40" t="str">
        <f t="shared" si="14"/>
        <v>No</v>
      </c>
      <c r="I219" s="41">
        <f t="shared" si="15"/>
        <v>2</v>
      </c>
    </row>
    <row r="220" spans="2:9" x14ac:dyDescent="0.25">
      <c r="B220" s="14" t="s">
        <v>58</v>
      </c>
      <c r="C220" s="38">
        <v>41195</v>
      </c>
      <c r="D220" s="39">
        <v>0.4201388888888889</v>
      </c>
      <c r="E220" s="8">
        <v>0.73</v>
      </c>
      <c r="F220" s="32" t="str">
        <f t="shared" si="12"/>
        <v>No</v>
      </c>
      <c r="G220" s="32" t="str">
        <f t="shared" si="13"/>
        <v>Yes</v>
      </c>
      <c r="H220" s="40" t="str">
        <f t="shared" si="14"/>
        <v>No</v>
      </c>
      <c r="I220" s="41">
        <f t="shared" si="15"/>
        <v>1</v>
      </c>
    </row>
    <row r="221" spans="2:9" x14ac:dyDescent="0.25">
      <c r="B221" s="14" t="s">
        <v>58</v>
      </c>
      <c r="C221" s="38">
        <v>41195</v>
      </c>
      <c r="D221" s="39">
        <v>0.43541666666666662</v>
      </c>
      <c r="E221" s="8">
        <v>0.95</v>
      </c>
      <c r="F221" s="32" t="str">
        <f t="shared" si="12"/>
        <v>No</v>
      </c>
      <c r="G221" s="32" t="str">
        <f t="shared" si="13"/>
        <v>Yes</v>
      </c>
      <c r="H221" s="40" t="str">
        <f t="shared" si="14"/>
        <v>No</v>
      </c>
      <c r="I221" s="41">
        <f t="shared" si="15"/>
        <v>1</v>
      </c>
    </row>
    <row r="222" spans="2:9" x14ac:dyDescent="0.25">
      <c r="B222" s="14" t="s">
        <v>58</v>
      </c>
      <c r="C222" s="38">
        <v>41195</v>
      </c>
      <c r="D222" s="39">
        <v>0.47847222222222219</v>
      </c>
      <c r="E222" s="8">
        <v>7.0000000000000007E-2</v>
      </c>
      <c r="F222" s="32" t="str">
        <f t="shared" si="12"/>
        <v>No</v>
      </c>
      <c r="G222" s="32" t="str">
        <f t="shared" si="13"/>
        <v>Yes</v>
      </c>
      <c r="H222" s="40" t="str">
        <f t="shared" si="14"/>
        <v>No</v>
      </c>
      <c r="I222" s="41">
        <f t="shared" si="15"/>
        <v>1</v>
      </c>
    </row>
    <row r="223" spans="2:9" x14ac:dyDescent="0.25">
      <c r="B223" s="14" t="s">
        <v>58</v>
      </c>
      <c r="C223" s="38">
        <v>41195</v>
      </c>
      <c r="D223" s="39">
        <v>0.47916666666666669</v>
      </c>
      <c r="E223" s="8">
        <v>41.33</v>
      </c>
      <c r="F223" s="32" t="str">
        <f t="shared" si="12"/>
        <v>No</v>
      </c>
      <c r="G223" s="32" t="str">
        <f t="shared" si="13"/>
        <v>Yes</v>
      </c>
      <c r="H223" s="40" t="str">
        <f t="shared" si="14"/>
        <v>No</v>
      </c>
      <c r="I223" s="41">
        <f t="shared" si="15"/>
        <v>42</v>
      </c>
    </row>
    <row r="224" spans="2:9" x14ac:dyDescent="0.25">
      <c r="B224" s="14" t="s">
        <v>58</v>
      </c>
      <c r="C224" s="38">
        <v>41195</v>
      </c>
      <c r="D224" s="39">
        <v>0.52222222222222225</v>
      </c>
      <c r="E224" s="8">
        <v>0.82</v>
      </c>
      <c r="F224" s="32" t="str">
        <f t="shared" si="12"/>
        <v>No</v>
      </c>
      <c r="G224" s="32" t="str">
        <f t="shared" si="13"/>
        <v>Yes</v>
      </c>
      <c r="H224" s="40" t="str">
        <f t="shared" si="14"/>
        <v>No</v>
      </c>
      <c r="I224" s="41">
        <f t="shared" si="15"/>
        <v>1</v>
      </c>
    </row>
    <row r="225" spans="2:9" x14ac:dyDescent="0.25">
      <c r="B225" s="14" t="s">
        <v>58</v>
      </c>
      <c r="C225" s="38">
        <v>41195</v>
      </c>
      <c r="D225" s="39">
        <v>0.53472222222222221</v>
      </c>
      <c r="E225" s="8">
        <v>0.24</v>
      </c>
      <c r="F225" s="32" t="str">
        <f t="shared" si="12"/>
        <v>No</v>
      </c>
      <c r="G225" s="32" t="str">
        <f t="shared" si="13"/>
        <v>Yes</v>
      </c>
      <c r="H225" s="40" t="str">
        <f t="shared" si="14"/>
        <v>No</v>
      </c>
      <c r="I225" s="41">
        <f t="shared" si="15"/>
        <v>1</v>
      </c>
    </row>
    <row r="226" spans="2:9" x14ac:dyDescent="0.25">
      <c r="B226" s="14" t="s">
        <v>58</v>
      </c>
      <c r="C226" s="38">
        <v>41195</v>
      </c>
      <c r="D226" s="39">
        <v>0.54375000000000007</v>
      </c>
      <c r="E226" s="8">
        <v>2.31</v>
      </c>
      <c r="F226" s="32" t="str">
        <f t="shared" si="12"/>
        <v>No</v>
      </c>
      <c r="G226" s="32" t="str">
        <f t="shared" si="13"/>
        <v>Yes</v>
      </c>
      <c r="H226" s="40" t="str">
        <f t="shared" si="14"/>
        <v>No</v>
      </c>
      <c r="I226" s="41">
        <f t="shared" si="15"/>
        <v>3</v>
      </c>
    </row>
    <row r="227" spans="2:9" x14ac:dyDescent="0.25">
      <c r="B227" s="14" t="s">
        <v>58</v>
      </c>
      <c r="C227" s="38">
        <v>41195</v>
      </c>
      <c r="D227" s="39">
        <v>0.58124999999999993</v>
      </c>
      <c r="E227" s="8">
        <v>0.86</v>
      </c>
      <c r="F227" s="32" t="str">
        <f t="shared" si="12"/>
        <v>No</v>
      </c>
      <c r="G227" s="32" t="str">
        <f t="shared" si="13"/>
        <v>Yes</v>
      </c>
      <c r="H227" s="40" t="str">
        <f t="shared" si="14"/>
        <v>No</v>
      </c>
      <c r="I227" s="41">
        <f t="shared" si="15"/>
        <v>1</v>
      </c>
    </row>
    <row r="228" spans="2:9" x14ac:dyDescent="0.25">
      <c r="B228" s="14" t="s">
        <v>58</v>
      </c>
      <c r="C228" s="38">
        <v>41195</v>
      </c>
      <c r="D228" s="39">
        <v>0.58958333333333335</v>
      </c>
      <c r="E228" s="8">
        <v>3.75</v>
      </c>
      <c r="F228" s="32" t="str">
        <f t="shared" si="12"/>
        <v>No</v>
      </c>
      <c r="G228" s="32" t="str">
        <f t="shared" si="13"/>
        <v>Yes</v>
      </c>
      <c r="H228" s="40" t="str">
        <f t="shared" si="14"/>
        <v>No</v>
      </c>
      <c r="I228" s="41">
        <f t="shared" si="15"/>
        <v>4</v>
      </c>
    </row>
    <row r="229" spans="2:9" x14ac:dyDescent="0.25">
      <c r="B229" s="14" t="s">
        <v>58</v>
      </c>
      <c r="C229" s="38">
        <v>41195</v>
      </c>
      <c r="D229" s="39">
        <v>0.64166666666666672</v>
      </c>
      <c r="E229" s="8">
        <v>31.5</v>
      </c>
      <c r="F229" s="32" t="str">
        <f t="shared" si="12"/>
        <v>No</v>
      </c>
      <c r="G229" s="32" t="str">
        <f t="shared" si="13"/>
        <v>Yes</v>
      </c>
      <c r="H229" s="40" t="str">
        <f t="shared" si="14"/>
        <v>No</v>
      </c>
      <c r="I229" s="41">
        <f t="shared" si="15"/>
        <v>32</v>
      </c>
    </row>
    <row r="230" spans="2:9" x14ac:dyDescent="0.25">
      <c r="B230" s="14" t="s">
        <v>58</v>
      </c>
      <c r="C230" s="38">
        <v>41195</v>
      </c>
      <c r="D230" s="39">
        <v>0.68541666666666667</v>
      </c>
      <c r="E230" s="8">
        <v>2.2200000000000002</v>
      </c>
      <c r="F230" s="32" t="str">
        <f t="shared" si="12"/>
        <v>No</v>
      </c>
      <c r="G230" s="32" t="str">
        <f t="shared" si="13"/>
        <v>Yes</v>
      </c>
      <c r="H230" s="40" t="str">
        <f t="shared" si="14"/>
        <v>No</v>
      </c>
      <c r="I230" s="41">
        <f t="shared" si="15"/>
        <v>3</v>
      </c>
    </row>
    <row r="231" spans="2:9" x14ac:dyDescent="0.25">
      <c r="B231" s="14" t="s">
        <v>58</v>
      </c>
      <c r="C231" s="38">
        <v>41195</v>
      </c>
      <c r="D231" s="39">
        <v>0.71319444444444446</v>
      </c>
      <c r="E231" s="8">
        <v>2.95</v>
      </c>
      <c r="F231" s="32" t="str">
        <f t="shared" si="12"/>
        <v>No</v>
      </c>
      <c r="G231" s="32" t="str">
        <f t="shared" si="13"/>
        <v>Yes</v>
      </c>
      <c r="H231" s="40" t="str">
        <f t="shared" si="14"/>
        <v>No</v>
      </c>
      <c r="I231" s="41">
        <f t="shared" si="15"/>
        <v>3</v>
      </c>
    </row>
    <row r="232" spans="2:9" x14ac:dyDescent="0.25">
      <c r="B232" s="14" t="s">
        <v>58</v>
      </c>
      <c r="C232" s="38">
        <v>41195</v>
      </c>
      <c r="D232" s="39">
        <v>0.75069444444444444</v>
      </c>
      <c r="E232" s="8">
        <v>4.29</v>
      </c>
      <c r="F232" s="32" t="str">
        <f t="shared" si="12"/>
        <v>No</v>
      </c>
      <c r="G232" s="32" t="str">
        <f t="shared" si="13"/>
        <v>Yes</v>
      </c>
      <c r="H232" s="40" t="str">
        <f t="shared" si="14"/>
        <v>No</v>
      </c>
      <c r="I232" s="41">
        <f t="shared" si="15"/>
        <v>5</v>
      </c>
    </row>
    <row r="233" spans="2:9" x14ac:dyDescent="0.25">
      <c r="B233" s="14" t="s">
        <v>58</v>
      </c>
      <c r="C233" s="38">
        <v>41195</v>
      </c>
      <c r="D233" s="39">
        <v>0.81527777777777777</v>
      </c>
      <c r="E233" s="8">
        <v>0.62</v>
      </c>
      <c r="F233" s="32" t="str">
        <f t="shared" si="12"/>
        <v>No</v>
      </c>
      <c r="G233" s="32" t="str">
        <f t="shared" si="13"/>
        <v>No</v>
      </c>
      <c r="H233" s="40" t="str">
        <f t="shared" si="14"/>
        <v>No</v>
      </c>
      <c r="I233" s="41">
        <f t="shared" si="15"/>
        <v>1</v>
      </c>
    </row>
    <row r="234" spans="2:9" x14ac:dyDescent="0.25">
      <c r="B234" s="14" t="s">
        <v>58</v>
      </c>
      <c r="C234" s="38">
        <v>41195</v>
      </c>
      <c r="D234" s="39">
        <v>0.8208333333333333</v>
      </c>
      <c r="E234" s="8">
        <v>2.23</v>
      </c>
      <c r="F234" s="32" t="str">
        <f t="shared" si="12"/>
        <v>No</v>
      </c>
      <c r="G234" s="32" t="str">
        <f t="shared" si="13"/>
        <v>No</v>
      </c>
      <c r="H234" s="40" t="str">
        <f t="shared" si="14"/>
        <v>No</v>
      </c>
      <c r="I234" s="41">
        <f t="shared" si="15"/>
        <v>3</v>
      </c>
    </row>
    <row r="235" spans="2:9" x14ac:dyDescent="0.25">
      <c r="B235" s="14" t="s">
        <v>59</v>
      </c>
      <c r="C235" s="38">
        <v>41196</v>
      </c>
      <c r="D235" s="39">
        <v>0.34791666666666665</v>
      </c>
      <c r="E235" s="8">
        <v>5.27</v>
      </c>
      <c r="F235" s="32" t="str">
        <f t="shared" si="12"/>
        <v>No</v>
      </c>
      <c r="G235" s="32" t="str">
        <f t="shared" si="13"/>
        <v>Yes</v>
      </c>
      <c r="H235" s="40" t="str">
        <f t="shared" si="14"/>
        <v>No</v>
      </c>
      <c r="I235" s="41">
        <f t="shared" si="15"/>
        <v>6</v>
      </c>
    </row>
    <row r="236" spans="2:9" x14ac:dyDescent="0.25">
      <c r="B236" s="14" t="s">
        <v>59</v>
      </c>
      <c r="C236" s="38">
        <v>41196</v>
      </c>
      <c r="D236" s="39">
        <v>0.40277777777777773</v>
      </c>
      <c r="E236" s="8">
        <v>1.53</v>
      </c>
      <c r="F236" s="32" t="str">
        <f t="shared" si="12"/>
        <v>No</v>
      </c>
      <c r="G236" s="32" t="str">
        <f t="shared" si="13"/>
        <v>Yes</v>
      </c>
      <c r="H236" s="40" t="str">
        <f t="shared" si="14"/>
        <v>No</v>
      </c>
      <c r="I236" s="41">
        <f t="shared" si="15"/>
        <v>2</v>
      </c>
    </row>
    <row r="237" spans="2:9" x14ac:dyDescent="0.25">
      <c r="B237" s="14" t="s">
        <v>59</v>
      </c>
      <c r="C237" s="38">
        <v>41196</v>
      </c>
      <c r="D237" s="39">
        <v>0.41736111111111113</v>
      </c>
      <c r="E237" s="8">
        <v>2.3199999999999998</v>
      </c>
      <c r="F237" s="32" t="str">
        <f t="shared" si="12"/>
        <v>No</v>
      </c>
      <c r="G237" s="32" t="str">
        <f t="shared" si="13"/>
        <v>Yes</v>
      </c>
      <c r="H237" s="40" t="str">
        <f t="shared" si="14"/>
        <v>No</v>
      </c>
      <c r="I237" s="41">
        <f t="shared" si="15"/>
        <v>3</v>
      </c>
    </row>
    <row r="238" spans="2:9" x14ac:dyDescent="0.25">
      <c r="B238" s="14" t="s">
        <v>59</v>
      </c>
      <c r="C238" s="38">
        <v>41196</v>
      </c>
      <c r="D238" s="39">
        <v>0.4375</v>
      </c>
      <c r="E238" s="8">
        <v>0.86</v>
      </c>
      <c r="F238" s="32" t="str">
        <f t="shared" si="12"/>
        <v>No</v>
      </c>
      <c r="G238" s="32" t="str">
        <f t="shared" si="13"/>
        <v>Yes</v>
      </c>
      <c r="H238" s="40" t="str">
        <f t="shared" si="14"/>
        <v>No</v>
      </c>
      <c r="I238" s="41">
        <f t="shared" si="15"/>
        <v>1</v>
      </c>
    </row>
    <row r="239" spans="2:9" x14ac:dyDescent="0.25">
      <c r="B239" s="14" t="s">
        <v>59</v>
      </c>
      <c r="C239" s="38">
        <v>41196</v>
      </c>
      <c r="D239" s="39">
        <v>0.4375</v>
      </c>
      <c r="E239" s="8">
        <v>0.16</v>
      </c>
      <c r="F239" s="32" t="str">
        <f t="shared" si="12"/>
        <v>No</v>
      </c>
      <c r="G239" s="32" t="str">
        <f t="shared" si="13"/>
        <v>Yes</v>
      </c>
      <c r="H239" s="40" t="str">
        <f t="shared" si="14"/>
        <v>No</v>
      </c>
      <c r="I239" s="41">
        <f t="shared" si="15"/>
        <v>1</v>
      </c>
    </row>
    <row r="240" spans="2:9" x14ac:dyDescent="0.25">
      <c r="B240" s="14" t="s">
        <v>59</v>
      </c>
      <c r="C240" s="38">
        <v>41196</v>
      </c>
      <c r="D240" s="39">
        <v>0.44236111111111115</v>
      </c>
      <c r="E240" s="8">
        <v>1.6</v>
      </c>
      <c r="F240" s="32" t="str">
        <f t="shared" si="12"/>
        <v>No</v>
      </c>
      <c r="G240" s="32" t="str">
        <f t="shared" si="13"/>
        <v>Yes</v>
      </c>
      <c r="H240" s="40" t="str">
        <f t="shared" si="14"/>
        <v>No</v>
      </c>
      <c r="I240" s="41">
        <f t="shared" si="15"/>
        <v>2</v>
      </c>
    </row>
    <row r="241" spans="2:9" x14ac:dyDescent="0.25">
      <c r="B241" s="14" t="s">
        <v>59</v>
      </c>
      <c r="C241" s="38">
        <v>41196</v>
      </c>
      <c r="D241" s="39">
        <v>0.45347222222222222</v>
      </c>
      <c r="E241" s="8">
        <v>1.34</v>
      </c>
      <c r="F241" s="32" t="str">
        <f t="shared" si="12"/>
        <v>No</v>
      </c>
      <c r="G241" s="32" t="str">
        <f t="shared" si="13"/>
        <v>Yes</v>
      </c>
      <c r="H241" s="40" t="str">
        <f t="shared" si="14"/>
        <v>No</v>
      </c>
      <c r="I241" s="41">
        <f t="shared" si="15"/>
        <v>2</v>
      </c>
    </row>
    <row r="242" spans="2:9" x14ac:dyDescent="0.25">
      <c r="B242" s="14" t="s">
        <v>59</v>
      </c>
      <c r="C242" s="38">
        <v>41196</v>
      </c>
      <c r="D242" s="39">
        <v>0.4680555555555555</v>
      </c>
      <c r="E242" s="8">
        <v>0.67</v>
      </c>
      <c r="F242" s="32" t="str">
        <f t="shared" si="12"/>
        <v>No</v>
      </c>
      <c r="G242" s="32" t="str">
        <f t="shared" si="13"/>
        <v>Yes</v>
      </c>
      <c r="H242" s="40" t="str">
        <f t="shared" si="14"/>
        <v>No</v>
      </c>
      <c r="I242" s="41">
        <f t="shared" si="15"/>
        <v>1</v>
      </c>
    </row>
    <row r="243" spans="2:9" x14ac:dyDescent="0.25">
      <c r="B243" s="14" t="s">
        <v>59</v>
      </c>
      <c r="C243" s="38">
        <v>41196</v>
      </c>
      <c r="D243" s="39">
        <v>0.47638888888888892</v>
      </c>
      <c r="E243" s="8">
        <v>0.51</v>
      </c>
      <c r="F243" s="32" t="str">
        <f t="shared" si="12"/>
        <v>No</v>
      </c>
      <c r="G243" s="32" t="str">
        <f t="shared" si="13"/>
        <v>Yes</v>
      </c>
      <c r="H243" s="40" t="str">
        <f t="shared" si="14"/>
        <v>No</v>
      </c>
      <c r="I243" s="41">
        <f t="shared" si="15"/>
        <v>1</v>
      </c>
    </row>
    <row r="244" spans="2:9" x14ac:dyDescent="0.25">
      <c r="B244" s="14" t="s">
        <v>59</v>
      </c>
      <c r="C244" s="38">
        <v>41196</v>
      </c>
      <c r="D244" s="39">
        <v>0.49236111111111108</v>
      </c>
      <c r="E244" s="8">
        <v>0.31</v>
      </c>
      <c r="F244" s="32" t="str">
        <f t="shared" si="12"/>
        <v>No</v>
      </c>
      <c r="G244" s="32" t="str">
        <f t="shared" si="13"/>
        <v>Yes</v>
      </c>
      <c r="H244" s="40" t="str">
        <f t="shared" si="14"/>
        <v>No</v>
      </c>
      <c r="I244" s="41">
        <f t="shared" si="15"/>
        <v>1</v>
      </c>
    </row>
    <row r="245" spans="2:9" x14ac:dyDescent="0.25">
      <c r="B245" s="14" t="s">
        <v>59</v>
      </c>
      <c r="C245" s="38">
        <v>41196</v>
      </c>
      <c r="D245" s="39">
        <v>0.50416666666666665</v>
      </c>
      <c r="E245" s="8">
        <v>1.41</v>
      </c>
      <c r="F245" s="32" t="str">
        <f t="shared" si="12"/>
        <v>No</v>
      </c>
      <c r="G245" s="32" t="str">
        <f t="shared" si="13"/>
        <v>Yes</v>
      </c>
      <c r="H245" s="40" t="str">
        <f t="shared" si="14"/>
        <v>No</v>
      </c>
      <c r="I245" s="41">
        <f t="shared" si="15"/>
        <v>2</v>
      </c>
    </row>
    <row r="246" spans="2:9" x14ac:dyDescent="0.25">
      <c r="B246" s="14" t="s">
        <v>59</v>
      </c>
      <c r="C246" s="38">
        <v>41196</v>
      </c>
      <c r="D246" s="39">
        <v>0.57291666666666663</v>
      </c>
      <c r="E246" s="8">
        <v>0.17</v>
      </c>
      <c r="F246" s="32" t="str">
        <f t="shared" si="12"/>
        <v>No</v>
      </c>
      <c r="G246" s="32" t="str">
        <f t="shared" si="13"/>
        <v>Yes</v>
      </c>
      <c r="H246" s="40" t="str">
        <f t="shared" si="14"/>
        <v>No</v>
      </c>
      <c r="I246" s="41">
        <f t="shared" si="15"/>
        <v>1</v>
      </c>
    </row>
    <row r="247" spans="2:9" x14ac:dyDescent="0.25">
      <c r="B247" s="14" t="s">
        <v>59</v>
      </c>
      <c r="C247" s="38">
        <v>41196</v>
      </c>
      <c r="D247" s="39">
        <v>0.58472222222222225</v>
      </c>
      <c r="E247" s="8">
        <v>1.05</v>
      </c>
      <c r="F247" s="32" t="str">
        <f t="shared" si="12"/>
        <v>No</v>
      </c>
      <c r="G247" s="32" t="str">
        <f t="shared" si="13"/>
        <v>Yes</v>
      </c>
      <c r="H247" s="40" t="str">
        <f t="shared" si="14"/>
        <v>No</v>
      </c>
      <c r="I247" s="41">
        <f t="shared" si="15"/>
        <v>2</v>
      </c>
    </row>
    <row r="248" spans="2:9" x14ac:dyDescent="0.25">
      <c r="B248" s="14" t="s">
        <v>59</v>
      </c>
      <c r="C248" s="38">
        <v>41196</v>
      </c>
      <c r="D248" s="39">
        <v>0.62847222222222221</v>
      </c>
      <c r="E248" s="8">
        <v>0.68</v>
      </c>
      <c r="F248" s="32" t="str">
        <f t="shared" si="12"/>
        <v>No</v>
      </c>
      <c r="G248" s="32" t="str">
        <f t="shared" si="13"/>
        <v>Yes</v>
      </c>
      <c r="H248" s="40" t="str">
        <f t="shared" si="14"/>
        <v>No</v>
      </c>
      <c r="I248" s="41">
        <f t="shared" si="15"/>
        <v>1</v>
      </c>
    </row>
    <row r="249" spans="2:9" x14ac:dyDescent="0.25">
      <c r="B249" s="14" t="s">
        <v>59</v>
      </c>
      <c r="C249" s="38">
        <v>41196</v>
      </c>
      <c r="D249" s="39">
        <v>0.64374999999999993</v>
      </c>
      <c r="E249" s="8">
        <v>0.5</v>
      </c>
      <c r="F249" s="32" t="str">
        <f t="shared" si="12"/>
        <v>No</v>
      </c>
      <c r="G249" s="32" t="str">
        <f t="shared" si="13"/>
        <v>Yes</v>
      </c>
      <c r="H249" s="40" t="str">
        <f t="shared" si="14"/>
        <v>No</v>
      </c>
      <c r="I249" s="41">
        <f t="shared" si="15"/>
        <v>1</v>
      </c>
    </row>
    <row r="250" spans="2:9" x14ac:dyDescent="0.25">
      <c r="B250" s="14" t="s">
        <v>59</v>
      </c>
      <c r="C250" s="38">
        <v>41196</v>
      </c>
      <c r="D250" s="39">
        <v>0.65208333333333335</v>
      </c>
      <c r="E250" s="8">
        <v>1.69</v>
      </c>
      <c r="F250" s="32" t="str">
        <f t="shared" si="12"/>
        <v>No</v>
      </c>
      <c r="G250" s="32" t="str">
        <f t="shared" si="13"/>
        <v>Yes</v>
      </c>
      <c r="H250" s="40" t="str">
        <f t="shared" si="14"/>
        <v>No</v>
      </c>
      <c r="I250" s="41">
        <f t="shared" si="15"/>
        <v>2</v>
      </c>
    </row>
    <row r="251" spans="2:9" x14ac:dyDescent="0.25">
      <c r="B251" s="14" t="s">
        <v>59</v>
      </c>
      <c r="C251" s="38">
        <v>41196</v>
      </c>
      <c r="D251" s="39">
        <v>0.70486111111111116</v>
      </c>
      <c r="E251" s="8">
        <v>0.59</v>
      </c>
      <c r="F251" s="32" t="str">
        <f t="shared" si="12"/>
        <v>No</v>
      </c>
      <c r="G251" s="32" t="str">
        <f t="shared" si="13"/>
        <v>Yes</v>
      </c>
      <c r="H251" s="40" t="str">
        <f t="shared" si="14"/>
        <v>No</v>
      </c>
      <c r="I251" s="41">
        <f t="shared" si="15"/>
        <v>1</v>
      </c>
    </row>
    <row r="252" spans="2:9" x14ac:dyDescent="0.25">
      <c r="B252" s="14" t="s">
        <v>59</v>
      </c>
      <c r="C252" s="38">
        <v>41196</v>
      </c>
      <c r="D252" s="39">
        <v>0.71250000000000002</v>
      </c>
      <c r="E252" s="8">
        <v>2.48</v>
      </c>
      <c r="F252" s="32" t="str">
        <f t="shared" si="12"/>
        <v>No</v>
      </c>
      <c r="G252" s="32" t="str">
        <f t="shared" si="13"/>
        <v>Yes</v>
      </c>
      <c r="H252" s="40" t="str">
        <f t="shared" si="14"/>
        <v>No</v>
      </c>
      <c r="I252" s="41">
        <f t="shared" si="15"/>
        <v>3</v>
      </c>
    </row>
    <row r="253" spans="2:9" x14ac:dyDescent="0.25">
      <c r="B253" s="14" t="s">
        <v>59</v>
      </c>
      <c r="C253" s="38">
        <v>41196</v>
      </c>
      <c r="D253" s="39">
        <v>0.73402777777777783</v>
      </c>
      <c r="E253" s="8">
        <v>0.54</v>
      </c>
      <c r="F253" s="32" t="str">
        <f t="shared" si="12"/>
        <v>No</v>
      </c>
      <c r="G253" s="32" t="str">
        <f t="shared" si="13"/>
        <v>Yes</v>
      </c>
      <c r="H253" s="40" t="str">
        <f t="shared" si="14"/>
        <v>No</v>
      </c>
      <c r="I253" s="41">
        <f t="shared" si="15"/>
        <v>1</v>
      </c>
    </row>
    <row r="254" spans="2:9" x14ac:dyDescent="0.25">
      <c r="B254" s="14" t="s">
        <v>59</v>
      </c>
      <c r="C254" s="38">
        <v>41196</v>
      </c>
      <c r="D254" s="39">
        <v>0.74722222222222223</v>
      </c>
      <c r="E254" s="8">
        <v>0.06</v>
      </c>
      <c r="F254" s="32" t="str">
        <f t="shared" si="12"/>
        <v>No</v>
      </c>
      <c r="G254" s="32" t="str">
        <f t="shared" si="13"/>
        <v>Yes</v>
      </c>
      <c r="H254" s="40" t="str">
        <f t="shared" si="14"/>
        <v>No</v>
      </c>
      <c r="I254" s="41">
        <f t="shared" si="15"/>
        <v>1</v>
      </c>
    </row>
    <row r="255" spans="2:9" x14ac:dyDescent="0.25">
      <c r="B255" s="14" t="s">
        <v>59</v>
      </c>
      <c r="C255" s="38">
        <v>41196</v>
      </c>
      <c r="D255" s="39">
        <v>0.74791666666666667</v>
      </c>
      <c r="E255" s="8">
        <v>1.17</v>
      </c>
      <c r="F255" s="32" t="str">
        <f t="shared" si="12"/>
        <v>No</v>
      </c>
      <c r="G255" s="32" t="str">
        <f t="shared" si="13"/>
        <v>Yes</v>
      </c>
      <c r="H255" s="40" t="str">
        <f t="shared" si="14"/>
        <v>No</v>
      </c>
      <c r="I255" s="41">
        <f t="shared" si="15"/>
        <v>2</v>
      </c>
    </row>
    <row r="256" spans="2:9" x14ac:dyDescent="0.25">
      <c r="B256" s="14" t="s">
        <v>53</v>
      </c>
      <c r="C256" s="38">
        <v>41197</v>
      </c>
      <c r="D256" s="39">
        <v>0.46666666666666662</v>
      </c>
      <c r="E256" s="8">
        <v>3.71</v>
      </c>
      <c r="F256" s="32" t="str">
        <f t="shared" si="12"/>
        <v>Yes</v>
      </c>
      <c r="G256" s="32" t="str">
        <f t="shared" si="13"/>
        <v>Yes</v>
      </c>
      <c r="H256" s="40" t="str">
        <f t="shared" si="14"/>
        <v>Yes</v>
      </c>
      <c r="I256" s="41">
        <f t="shared" si="15"/>
        <v>4</v>
      </c>
    </row>
    <row r="257" spans="2:9" x14ac:dyDescent="0.25">
      <c r="B257" s="14" t="s">
        <v>53</v>
      </c>
      <c r="C257" s="38">
        <v>41197</v>
      </c>
      <c r="D257" s="39">
        <v>0.51180555555555551</v>
      </c>
      <c r="E257" s="8">
        <v>0.09</v>
      </c>
      <c r="F257" s="32" t="str">
        <f t="shared" si="12"/>
        <v>Yes</v>
      </c>
      <c r="G257" s="32" t="str">
        <f t="shared" si="13"/>
        <v>Yes</v>
      </c>
      <c r="H257" s="40" t="str">
        <f t="shared" si="14"/>
        <v>Yes</v>
      </c>
      <c r="I257" s="41">
        <f t="shared" si="15"/>
        <v>1</v>
      </c>
    </row>
    <row r="258" spans="2:9" x14ac:dyDescent="0.25">
      <c r="B258" s="14" t="s">
        <v>53</v>
      </c>
      <c r="C258" s="38">
        <v>41197</v>
      </c>
      <c r="D258" s="39">
        <v>0.51388888888888895</v>
      </c>
      <c r="E258" s="8">
        <v>3.8</v>
      </c>
      <c r="F258" s="32" t="str">
        <f t="shared" si="12"/>
        <v>Yes</v>
      </c>
      <c r="G258" s="32" t="str">
        <f t="shared" si="13"/>
        <v>Yes</v>
      </c>
      <c r="H258" s="40" t="str">
        <f t="shared" si="14"/>
        <v>Yes</v>
      </c>
      <c r="I258" s="41">
        <f t="shared" si="15"/>
        <v>4</v>
      </c>
    </row>
    <row r="259" spans="2:9" x14ac:dyDescent="0.25">
      <c r="B259" s="14" t="s">
        <v>53</v>
      </c>
      <c r="C259" s="38">
        <v>41197</v>
      </c>
      <c r="D259" s="39">
        <v>0.54027777777777775</v>
      </c>
      <c r="E259" s="8">
        <v>5.49</v>
      </c>
      <c r="F259" s="32" t="str">
        <f t="shared" si="12"/>
        <v>Yes</v>
      </c>
      <c r="G259" s="32" t="str">
        <f t="shared" si="13"/>
        <v>Yes</v>
      </c>
      <c r="H259" s="40" t="str">
        <f t="shared" si="14"/>
        <v>Yes</v>
      </c>
      <c r="I259" s="41">
        <f t="shared" si="15"/>
        <v>6</v>
      </c>
    </row>
    <row r="260" spans="2:9" x14ac:dyDescent="0.25">
      <c r="B260" s="14" t="s">
        <v>53</v>
      </c>
      <c r="C260" s="38">
        <v>41197</v>
      </c>
      <c r="D260" s="39">
        <v>0.58263888888888882</v>
      </c>
      <c r="E260" s="8">
        <v>0.1</v>
      </c>
      <c r="F260" s="32" t="str">
        <f t="shared" ref="F260:F323" si="16">IF(OR(B260="Sunday",B260="Saturday"),"No","Yes")</f>
        <v>Yes</v>
      </c>
      <c r="G260" s="32" t="str">
        <f t="shared" ref="G260:G323" si="17">IF(D260&lt;0.7916,"Yes","No")</f>
        <v>Yes</v>
      </c>
      <c r="H260" s="40" t="str">
        <f t="shared" ref="H260:H323" si="18">IF(AND(F260="Yes",G260="Yes"),"Yes","No")</f>
        <v>Yes</v>
      </c>
      <c r="I260" s="41">
        <f t="shared" ref="I260:I323" si="19">ROUNDUP(E260,0)</f>
        <v>1</v>
      </c>
    </row>
    <row r="261" spans="2:9" x14ac:dyDescent="0.25">
      <c r="B261" s="14" t="s">
        <v>53</v>
      </c>
      <c r="C261" s="38">
        <v>41197</v>
      </c>
      <c r="D261" s="39">
        <v>0.58402777777777781</v>
      </c>
      <c r="E261" s="8">
        <v>0.21</v>
      </c>
      <c r="F261" s="32" t="str">
        <f t="shared" si="16"/>
        <v>Yes</v>
      </c>
      <c r="G261" s="32" t="str">
        <f t="shared" si="17"/>
        <v>Yes</v>
      </c>
      <c r="H261" s="40" t="str">
        <f t="shared" si="18"/>
        <v>Yes</v>
      </c>
      <c r="I261" s="41">
        <f t="shared" si="19"/>
        <v>1</v>
      </c>
    </row>
    <row r="262" spans="2:9" x14ac:dyDescent="0.25">
      <c r="B262" s="14" t="s">
        <v>53</v>
      </c>
      <c r="C262" s="38">
        <v>41197</v>
      </c>
      <c r="D262" s="39">
        <v>0.60416666666666663</v>
      </c>
      <c r="E262" s="8">
        <v>1.4</v>
      </c>
      <c r="F262" s="32" t="str">
        <f t="shared" si="16"/>
        <v>Yes</v>
      </c>
      <c r="G262" s="32" t="str">
        <f t="shared" si="17"/>
        <v>Yes</v>
      </c>
      <c r="H262" s="40" t="str">
        <f t="shared" si="18"/>
        <v>Yes</v>
      </c>
      <c r="I262" s="41">
        <f t="shared" si="19"/>
        <v>2</v>
      </c>
    </row>
    <row r="263" spans="2:9" x14ac:dyDescent="0.25">
      <c r="B263" s="14" t="s">
        <v>53</v>
      </c>
      <c r="C263" s="38">
        <v>41197</v>
      </c>
      <c r="D263" s="39">
        <v>0.62222222222222223</v>
      </c>
      <c r="E263" s="8">
        <v>1.47</v>
      </c>
      <c r="F263" s="32" t="str">
        <f t="shared" si="16"/>
        <v>Yes</v>
      </c>
      <c r="G263" s="32" t="str">
        <f t="shared" si="17"/>
        <v>Yes</v>
      </c>
      <c r="H263" s="40" t="str">
        <f t="shared" si="18"/>
        <v>Yes</v>
      </c>
      <c r="I263" s="41">
        <f t="shared" si="19"/>
        <v>2</v>
      </c>
    </row>
    <row r="264" spans="2:9" x14ac:dyDescent="0.25">
      <c r="B264" s="14" t="s">
        <v>53</v>
      </c>
      <c r="C264" s="38">
        <v>41197</v>
      </c>
      <c r="D264" s="39">
        <v>0.63750000000000007</v>
      </c>
      <c r="E264" s="8">
        <v>0.34</v>
      </c>
      <c r="F264" s="32" t="str">
        <f t="shared" si="16"/>
        <v>Yes</v>
      </c>
      <c r="G264" s="32" t="str">
        <f t="shared" si="17"/>
        <v>Yes</v>
      </c>
      <c r="H264" s="40" t="str">
        <f t="shared" si="18"/>
        <v>Yes</v>
      </c>
      <c r="I264" s="41">
        <f t="shared" si="19"/>
        <v>1</v>
      </c>
    </row>
    <row r="265" spans="2:9" x14ac:dyDescent="0.25">
      <c r="B265" s="14" t="s">
        <v>53</v>
      </c>
      <c r="C265" s="38">
        <v>41197</v>
      </c>
      <c r="D265" s="39">
        <v>0.65902777777777777</v>
      </c>
      <c r="E265" s="8">
        <v>1.0900000000000001</v>
      </c>
      <c r="F265" s="32" t="str">
        <f t="shared" si="16"/>
        <v>Yes</v>
      </c>
      <c r="G265" s="32" t="str">
        <f t="shared" si="17"/>
        <v>Yes</v>
      </c>
      <c r="H265" s="40" t="str">
        <f t="shared" si="18"/>
        <v>Yes</v>
      </c>
      <c r="I265" s="41">
        <f t="shared" si="19"/>
        <v>2</v>
      </c>
    </row>
    <row r="266" spans="2:9" x14ac:dyDescent="0.25">
      <c r="B266" s="14" t="s">
        <v>54</v>
      </c>
      <c r="C266" s="38">
        <v>41198</v>
      </c>
      <c r="D266" s="39">
        <v>0.41805555555555557</v>
      </c>
      <c r="E266" s="8">
        <v>1.64</v>
      </c>
      <c r="F266" s="32" t="str">
        <f t="shared" si="16"/>
        <v>Yes</v>
      </c>
      <c r="G266" s="32" t="str">
        <f t="shared" si="17"/>
        <v>Yes</v>
      </c>
      <c r="H266" s="40" t="str">
        <f t="shared" si="18"/>
        <v>Yes</v>
      </c>
      <c r="I266" s="41">
        <f t="shared" si="19"/>
        <v>2</v>
      </c>
    </row>
    <row r="267" spans="2:9" x14ac:dyDescent="0.25">
      <c r="B267" s="14" t="s">
        <v>54</v>
      </c>
      <c r="C267" s="38">
        <v>41198</v>
      </c>
      <c r="D267" s="39">
        <v>0.47500000000000003</v>
      </c>
      <c r="E267" s="8">
        <v>0.08</v>
      </c>
      <c r="F267" s="32" t="str">
        <f t="shared" si="16"/>
        <v>Yes</v>
      </c>
      <c r="G267" s="32" t="str">
        <f t="shared" si="17"/>
        <v>Yes</v>
      </c>
      <c r="H267" s="40" t="str">
        <f t="shared" si="18"/>
        <v>Yes</v>
      </c>
      <c r="I267" s="41">
        <f t="shared" si="19"/>
        <v>1</v>
      </c>
    </row>
    <row r="268" spans="2:9" x14ac:dyDescent="0.25">
      <c r="B268" s="14" t="s">
        <v>54</v>
      </c>
      <c r="C268" s="38">
        <v>41198</v>
      </c>
      <c r="D268" s="39">
        <v>0.47638888888888892</v>
      </c>
      <c r="E268" s="8">
        <v>1.23</v>
      </c>
      <c r="F268" s="32" t="str">
        <f t="shared" si="16"/>
        <v>Yes</v>
      </c>
      <c r="G268" s="32" t="str">
        <f t="shared" si="17"/>
        <v>Yes</v>
      </c>
      <c r="H268" s="40" t="str">
        <f t="shared" si="18"/>
        <v>Yes</v>
      </c>
      <c r="I268" s="41">
        <f t="shared" si="19"/>
        <v>2</v>
      </c>
    </row>
    <row r="269" spans="2:9" x14ac:dyDescent="0.25">
      <c r="B269" s="14" t="s">
        <v>54</v>
      </c>
      <c r="C269" s="38">
        <v>41198</v>
      </c>
      <c r="D269" s="39">
        <v>0.50763888888888886</v>
      </c>
      <c r="E269" s="8">
        <v>0.49</v>
      </c>
      <c r="F269" s="32" t="str">
        <f t="shared" si="16"/>
        <v>Yes</v>
      </c>
      <c r="G269" s="32" t="str">
        <f t="shared" si="17"/>
        <v>Yes</v>
      </c>
      <c r="H269" s="40" t="str">
        <f t="shared" si="18"/>
        <v>Yes</v>
      </c>
      <c r="I269" s="41">
        <f t="shared" si="19"/>
        <v>1</v>
      </c>
    </row>
    <row r="270" spans="2:9" x14ac:dyDescent="0.25">
      <c r="B270" s="14" t="s">
        <v>54</v>
      </c>
      <c r="C270" s="38">
        <v>41198</v>
      </c>
      <c r="D270" s="39">
        <v>0.55486111111111114</v>
      </c>
      <c r="E270" s="8">
        <v>0.38</v>
      </c>
      <c r="F270" s="32" t="str">
        <f t="shared" si="16"/>
        <v>Yes</v>
      </c>
      <c r="G270" s="32" t="str">
        <f t="shared" si="17"/>
        <v>Yes</v>
      </c>
      <c r="H270" s="40" t="str">
        <f t="shared" si="18"/>
        <v>Yes</v>
      </c>
      <c r="I270" s="41">
        <f t="shared" si="19"/>
        <v>1</v>
      </c>
    </row>
    <row r="271" spans="2:9" x14ac:dyDescent="0.25">
      <c r="B271" s="14" t="s">
        <v>54</v>
      </c>
      <c r="C271" s="38">
        <v>41198</v>
      </c>
      <c r="D271" s="39">
        <v>0.58888888888888891</v>
      </c>
      <c r="E271" s="8">
        <v>62.16</v>
      </c>
      <c r="F271" s="32" t="str">
        <f t="shared" si="16"/>
        <v>Yes</v>
      </c>
      <c r="G271" s="32" t="str">
        <f t="shared" si="17"/>
        <v>Yes</v>
      </c>
      <c r="H271" s="40" t="str">
        <f t="shared" si="18"/>
        <v>Yes</v>
      </c>
      <c r="I271" s="41">
        <f t="shared" si="19"/>
        <v>63</v>
      </c>
    </row>
    <row r="272" spans="2:9" x14ac:dyDescent="0.25">
      <c r="B272" s="14" t="s">
        <v>54</v>
      </c>
      <c r="C272" s="38">
        <v>41198</v>
      </c>
      <c r="D272" s="39">
        <v>0.66597222222222219</v>
      </c>
      <c r="E272" s="8">
        <v>2.38</v>
      </c>
      <c r="F272" s="32" t="str">
        <f t="shared" si="16"/>
        <v>Yes</v>
      </c>
      <c r="G272" s="32" t="str">
        <f t="shared" si="17"/>
        <v>Yes</v>
      </c>
      <c r="H272" s="40" t="str">
        <f t="shared" si="18"/>
        <v>Yes</v>
      </c>
      <c r="I272" s="41">
        <f t="shared" si="19"/>
        <v>3</v>
      </c>
    </row>
    <row r="273" spans="2:9" x14ac:dyDescent="0.25">
      <c r="B273" s="14" t="s">
        <v>54</v>
      </c>
      <c r="C273" s="38">
        <v>41198</v>
      </c>
      <c r="D273" s="39">
        <v>0.69166666666666676</v>
      </c>
      <c r="E273" s="8">
        <v>0.42</v>
      </c>
      <c r="F273" s="32" t="str">
        <f t="shared" si="16"/>
        <v>Yes</v>
      </c>
      <c r="G273" s="32" t="str">
        <f t="shared" si="17"/>
        <v>Yes</v>
      </c>
      <c r="H273" s="40" t="str">
        <f t="shared" si="18"/>
        <v>Yes</v>
      </c>
      <c r="I273" s="41">
        <f t="shared" si="19"/>
        <v>1</v>
      </c>
    </row>
    <row r="274" spans="2:9" x14ac:dyDescent="0.25">
      <c r="B274" s="14" t="s">
        <v>54</v>
      </c>
      <c r="C274" s="38">
        <v>41198</v>
      </c>
      <c r="D274" s="39">
        <v>0.72361111111111109</v>
      </c>
      <c r="E274" s="8">
        <v>1.23</v>
      </c>
      <c r="F274" s="32" t="str">
        <f t="shared" si="16"/>
        <v>Yes</v>
      </c>
      <c r="G274" s="32" t="str">
        <f t="shared" si="17"/>
        <v>Yes</v>
      </c>
      <c r="H274" s="40" t="str">
        <f t="shared" si="18"/>
        <v>Yes</v>
      </c>
      <c r="I274" s="41">
        <f t="shared" si="19"/>
        <v>2</v>
      </c>
    </row>
    <row r="275" spans="2:9" x14ac:dyDescent="0.25">
      <c r="B275" s="14" t="s">
        <v>54</v>
      </c>
      <c r="C275" s="38">
        <v>41198</v>
      </c>
      <c r="D275" s="39">
        <v>0.73472222222222217</v>
      </c>
      <c r="E275" s="8">
        <v>0.52</v>
      </c>
      <c r="F275" s="32" t="str">
        <f t="shared" si="16"/>
        <v>Yes</v>
      </c>
      <c r="G275" s="32" t="str">
        <f t="shared" si="17"/>
        <v>Yes</v>
      </c>
      <c r="H275" s="40" t="str">
        <f t="shared" si="18"/>
        <v>Yes</v>
      </c>
      <c r="I275" s="41">
        <f t="shared" si="19"/>
        <v>1</v>
      </c>
    </row>
    <row r="276" spans="2:9" x14ac:dyDescent="0.25">
      <c r="B276" s="14" t="s">
        <v>54</v>
      </c>
      <c r="C276" s="38">
        <v>41198</v>
      </c>
      <c r="D276" s="39">
        <v>0.7583333333333333</v>
      </c>
      <c r="E276" s="8">
        <v>0.42</v>
      </c>
      <c r="F276" s="32" t="str">
        <f t="shared" si="16"/>
        <v>Yes</v>
      </c>
      <c r="G276" s="32" t="str">
        <f t="shared" si="17"/>
        <v>Yes</v>
      </c>
      <c r="H276" s="40" t="str">
        <f t="shared" si="18"/>
        <v>Yes</v>
      </c>
      <c r="I276" s="41">
        <f t="shared" si="19"/>
        <v>1</v>
      </c>
    </row>
    <row r="277" spans="2:9" x14ac:dyDescent="0.25">
      <c r="B277" s="14" t="s">
        <v>54</v>
      </c>
      <c r="C277" s="38">
        <v>41198</v>
      </c>
      <c r="D277" s="39">
        <v>0.7680555555555556</v>
      </c>
      <c r="E277" s="8">
        <v>0.01</v>
      </c>
      <c r="F277" s="32" t="str">
        <f t="shared" si="16"/>
        <v>Yes</v>
      </c>
      <c r="G277" s="32" t="str">
        <f t="shared" si="17"/>
        <v>Yes</v>
      </c>
      <c r="H277" s="40" t="str">
        <f t="shared" si="18"/>
        <v>Yes</v>
      </c>
      <c r="I277" s="41">
        <f t="shared" si="19"/>
        <v>1</v>
      </c>
    </row>
    <row r="278" spans="2:9" x14ac:dyDescent="0.25">
      <c r="B278" s="14" t="s">
        <v>54</v>
      </c>
      <c r="C278" s="38">
        <v>41198</v>
      </c>
      <c r="D278" s="39">
        <v>0.76874999999999993</v>
      </c>
      <c r="E278" s="8">
        <v>1.91</v>
      </c>
      <c r="F278" s="32" t="str">
        <f t="shared" si="16"/>
        <v>Yes</v>
      </c>
      <c r="G278" s="32" t="str">
        <f t="shared" si="17"/>
        <v>Yes</v>
      </c>
      <c r="H278" s="40" t="str">
        <f t="shared" si="18"/>
        <v>Yes</v>
      </c>
      <c r="I278" s="41">
        <f t="shared" si="19"/>
        <v>2</v>
      </c>
    </row>
    <row r="279" spans="2:9" x14ac:dyDescent="0.25">
      <c r="B279" s="14" t="s">
        <v>54</v>
      </c>
      <c r="C279" s="38">
        <v>41198</v>
      </c>
      <c r="D279" s="39">
        <v>0.78333333333333333</v>
      </c>
      <c r="E279" s="8">
        <v>1.1200000000000001</v>
      </c>
      <c r="F279" s="32" t="str">
        <f t="shared" si="16"/>
        <v>Yes</v>
      </c>
      <c r="G279" s="32" t="str">
        <f t="shared" si="17"/>
        <v>Yes</v>
      </c>
      <c r="H279" s="40" t="str">
        <f t="shared" si="18"/>
        <v>Yes</v>
      </c>
      <c r="I279" s="41">
        <f t="shared" si="19"/>
        <v>2</v>
      </c>
    </row>
    <row r="280" spans="2:9" x14ac:dyDescent="0.25">
      <c r="B280" s="14" t="s">
        <v>54</v>
      </c>
      <c r="C280" s="38">
        <v>41198</v>
      </c>
      <c r="D280" s="39">
        <v>0.7944444444444444</v>
      </c>
      <c r="E280" s="8">
        <v>2.7</v>
      </c>
      <c r="F280" s="32" t="str">
        <f t="shared" si="16"/>
        <v>Yes</v>
      </c>
      <c r="G280" s="32" t="str">
        <f t="shared" si="17"/>
        <v>No</v>
      </c>
      <c r="H280" s="40" t="str">
        <f t="shared" si="18"/>
        <v>No</v>
      </c>
      <c r="I280" s="41">
        <f t="shared" si="19"/>
        <v>3</v>
      </c>
    </row>
    <row r="281" spans="2:9" x14ac:dyDescent="0.25">
      <c r="B281" s="14" t="s">
        <v>54</v>
      </c>
      <c r="C281" s="38">
        <v>41198</v>
      </c>
      <c r="D281" s="39">
        <v>0.81736111111111109</v>
      </c>
      <c r="E281" s="8">
        <v>0.56999999999999995</v>
      </c>
      <c r="F281" s="32" t="str">
        <f t="shared" si="16"/>
        <v>Yes</v>
      </c>
      <c r="G281" s="32" t="str">
        <f t="shared" si="17"/>
        <v>No</v>
      </c>
      <c r="H281" s="40" t="str">
        <f t="shared" si="18"/>
        <v>No</v>
      </c>
      <c r="I281" s="41">
        <f t="shared" si="19"/>
        <v>1</v>
      </c>
    </row>
    <row r="282" spans="2:9" x14ac:dyDescent="0.25">
      <c r="B282" s="14" t="s">
        <v>54</v>
      </c>
      <c r="C282" s="38">
        <v>41198</v>
      </c>
      <c r="D282" s="39">
        <v>0.86458333333333337</v>
      </c>
      <c r="E282" s="8">
        <v>1.1100000000000001</v>
      </c>
      <c r="F282" s="32" t="str">
        <f t="shared" si="16"/>
        <v>Yes</v>
      </c>
      <c r="G282" s="32" t="str">
        <f t="shared" si="17"/>
        <v>No</v>
      </c>
      <c r="H282" s="40" t="str">
        <f t="shared" si="18"/>
        <v>No</v>
      </c>
      <c r="I282" s="41">
        <f t="shared" si="19"/>
        <v>2</v>
      </c>
    </row>
    <row r="283" spans="2:9" x14ac:dyDescent="0.25">
      <c r="B283" s="14" t="s">
        <v>54</v>
      </c>
      <c r="C283" s="38">
        <v>41198</v>
      </c>
      <c r="D283" s="39">
        <v>0.88124999999999998</v>
      </c>
      <c r="E283" s="8">
        <v>0.1</v>
      </c>
      <c r="F283" s="32" t="str">
        <f t="shared" si="16"/>
        <v>Yes</v>
      </c>
      <c r="G283" s="32" t="str">
        <f t="shared" si="17"/>
        <v>No</v>
      </c>
      <c r="H283" s="40" t="str">
        <f t="shared" si="18"/>
        <v>No</v>
      </c>
      <c r="I283" s="41">
        <f t="shared" si="19"/>
        <v>1</v>
      </c>
    </row>
    <row r="284" spans="2:9" x14ac:dyDescent="0.25">
      <c r="B284" s="14" t="s">
        <v>54</v>
      </c>
      <c r="C284" s="38">
        <v>41198</v>
      </c>
      <c r="D284" s="39">
        <v>0.89027777777777783</v>
      </c>
      <c r="E284" s="8">
        <v>3.24</v>
      </c>
      <c r="F284" s="32" t="str">
        <f t="shared" si="16"/>
        <v>Yes</v>
      </c>
      <c r="G284" s="32" t="str">
        <f t="shared" si="17"/>
        <v>No</v>
      </c>
      <c r="H284" s="40" t="str">
        <f t="shared" si="18"/>
        <v>No</v>
      </c>
      <c r="I284" s="41">
        <f t="shared" si="19"/>
        <v>4</v>
      </c>
    </row>
    <row r="285" spans="2:9" x14ac:dyDescent="0.25">
      <c r="B285" s="14" t="s">
        <v>54</v>
      </c>
      <c r="C285" s="38">
        <v>41198</v>
      </c>
      <c r="D285" s="39">
        <v>0.9277777777777777</v>
      </c>
      <c r="E285" s="8">
        <v>3.2</v>
      </c>
      <c r="F285" s="32" t="str">
        <f t="shared" si="16"/>
        <v>Yes</v>
      </c>
      <c r="G285" s="32" t="str">
        <f t="shared" si="17"/>
        <v>No</v>
      </c>
      <c r="H285" s="40" t="str">
        <f t="shared" si="18"/>
        <v>No</v>
      </c>
      <c r="I285" s="41">
        <f t="shared" si="19"/>
        <v>4</v>
      </c>
    </row>
    <row r="286" spans="2:9" x14ac:dyDescent="0.25">
      <c r="B286" s="14" t="s">
        <v>55</v>
      </c>
      <c r="C286" s="38">
        <v>41199</v>
      </c>
      <c r="D286" s="39">
        <v>0.47291666666666665</v>
      </c>
      <c r="E286" s="8">
        <v>1.17</v>
      </c>
      <c r="F286" s="32" t="str">
        <f t="shared" si="16"/>
        <v>Yes</v>
      </c>
      <c r="G286" s="32" t="str">
        <f t="shared" si="17"/>
        <v>Yes</v>
      </c>
      <c r="H286" s="40" t="str">
        <f t="shared" si="18"/>
        <v>Yes</v>
      </c>
      <c r="I286" s="41">
        <f t="shared" si="19"/>
        <v>2</v>
      </c>
    </row>
    <row r="287" spans="2:9" x14ac:dyDescent="0.25">
      <c r="B287" s="14" t="s">
        <v>55</v>
      </c>
      <c r="C287" s="38">
        <v>41199</v>
      </c>
      <c r="D287" s="39">
        <v>0.50138888888888888</v>
      </c>
      <c r="E287" s="8">
        <v>3.82</v>
      </c>
      <c r="F287" s="32" t="str">
        <f t="shared" si="16"/>
        <v>Yes</v>
      </c>
      <c r="G287" s="32" t="str">
        <f t="shared" si="17"/>
        <v>Yes</v>
      </c>
      <c r="H287" s="40" t="str">
        <f t="shared" si="18"/>
        <v>Yes</v>
      </c>
      <c r="I287" s="41">
        <f t="shared" si="19"/>
        <v>4</v>
      </c>
    </row>
    <row r="288" spans="2:9" x14ac:dyDescent="0.25">
      <c r="B288" s="14" t="s">
        <v>55</v>
      </c>
      <c r="C288" s="38">
        <v>41199</v>
      </c>
      <c r="D288" s="39">
        <v>0.5444444444444444</v>
      </c>
      <c r="E288" s="8">
        <v>0.18</v>
      </c>
      <c r="F288" s="32" t="str">
        <f t="shared" si="16"/>
        <v>Yes</v>
      </c>
      <c r="G288" s="32" t="str">
        <f t="shared" si="17"/>
        <v>Yes</v>
      </c>
      <c r="H288" s="40" t="str">
        <f t="shared" si="18"/>
        <v>Yes</v>
      </c>
      <c r="I288" s="41">
        <f t="shared" si="19"/>
        <v>1</v>
      </c>
    </row>
    <row r="289" spans="2:9" x14ac:dyDescent="0.25">
      <c r="B289" s="14" t="s">
        <v>55</v>
      </c>
      <c r="C289" s="38">
        <v>41199</v>
      </c>
      <c r="D289" s="39">
        <v>0.54722222222222217</v>
      </c>
      <c r="E289" s="8">
        <v>1.08</v>
      </c>
      <c r="F289" s="32" t="str">
        <f t="shared" si="16"/>
        <v>Yes</v>
      </c>
      <c r="G289" s="32" t="str">
        <f t="shared" si="17"/>
        <v>Yes</v>
      </c>
      <c r="H289" s="40" t="str">
        <f t="shared" si="18"/>
        <v>Yes</v>
      </c>
      <c r="I289" s="41">
        <f t="shared" si="19"/>
        <v>2</v>
      </c>
    </row>
    <row r="290" spans="2:9" x14ac:dyDescent="0.25">
      <c r="B290" s="14" t="s">
        <v>55</v>
      </c>
      <c r="C290" s="38">
        <v>41199</v>
      </c>
      <c r="D290" s="39">
        <v>0.55625000000000002</v>
      </c>
      <c r="E290" s="8">
        <v>0.09</v>
      </c>
      <c r="F290" s="32" t="str">
        <f t="shared" si="16"/>
        <v>Yes</v>
      </c>
      <c r="G290" s="32" t="str">
        <f t="shared" si="17"/>
        <v>Yes</v>
      </c>
      <c r="H290" s="40" t="str">
        <f t="shared" si="18"/>
        <v>Yes</v>
      </c>
      <c r="I290" s="41">
        <f t="shared" si="19"/>
        <v>1</v>
      </c>
    </row>
    <row r="291" spans="2:9" x14ac:dyDescent="0.25">
      <c r="B291" s="14" t="s">
        <v>55</v>
      </c>
      <c r="C291" s="38">
        <v>41199</v>
      </c>
      <c r="D291" s="39">
        <v>0.55833333333333335</v>
      </c>
      <c r="E291" s="8">
        <v>0.49</v>
      </c>
      <c r="F291" s="32" t="str">
        <f t="shared" si="16"/>
        <v>Yes</v>
      </c>
      <c r="G291" s="32" t="str">
        <f t="shared" si="17"/>
        <v>Yes</v>
      </c>
      <c r="H291" s="40" t="str">
        <f t="shared" si="18"/>
        <v>Yes</v>
      </c>
      <c r="I291" s="41">
        <f t="shared" si="19"/>
        <v>1</v>
      </c>
    </row>
    <row r="292" spans="2:9" x14ac:dyDescent="0.25">
      <c r="B292" s="14" t="s">
        <v>55</v>
      </c>
      <c r="C292" s="38">
        <v>41199</v>
      </c>
      <c r="D292" s="39">
        <v>0.56388888888888888</v>
      </c>
      <c r="E292" s="8">
        <v>0.04</v>
      </c>
      <c r="F292" s="32" t="str">
        <f t="shared" si="16"/>
        <v>Yes</v>
      </c>
      <c r="G292" s="32" t="str">
        <f t="shared" si="17"/>
        <v>Yes</v>
      </c>
      <c r="H292" s="40" t="str">
        <f t="shared" si="18"/>
        <v>Yes</v>
      </c>
      <c r="I292" s="41">
        <f t="shared" si="19"/>
        <v>1</v>
      </c>
    </row>
    <row r="293" spans="2:9" x14ac:dyDescent="0.25">
      <c r="B293" s="14" t="s">
        <v>55</v>
      </c>
      <c r="C293" s="38">
        <v>41199</v>
      </c>
      <c r="D293" s="39">
        <v>0.56527777777777777</v>
      </c>
      <c r="E293" s="8">
        <v>0.54</v>
      </c>
      <c r="F293" s="32" t="str">
        <f t="shared" si="16"/>
        <v>Yes</v>
      </c>
      <c r="G293" s="32" t="str">
        <f t="shared" si="17"/>
        <v>Yes</v>
      </c>
      <c r="H293" s="40" t="str">
        <f t="shared" si="18"/>
        <v>Yes</v>
      </c>
      <c r="I293" s="41">
        <f t="shared" si="19"/>
        <v>1</v>
      </c>
    </row>
    <row r="294" spans="2:9" x14ac:dyDescent="0.25">
      <c r="B294" s="14" t="s">
        <v>55</v>
      </c>
      <c r="C294" s="38">
        <v>41199</v>
      </c>
      <c r="D294" s="39">
        <v>0.57013888888888886</v>
      </c>
      <c r="E294" s="8">
        <v>0.05</v>
      </c>
      <c r="F294" s="32" t="str">
        <f t="shared" si="16"/>
        <v>Yes</v>
      </c>
      <c r="G294" s="32" t="str">
        <f t="shared" si="17"/>
        <v>Yes</v>
      </c>
      <c r="H294" s="40" t="str">
        <f t="shared" si="18"/>
        <v>Yes</v>
      </c>
      <c r="I294" s="41">
        <f t="shared" si="19"/>
        <v>1</v>
      </c>
    </row>
    <row r="295" spans="2:9" x14ac:dyDescent="0.25">
      <c r="B295" s="14" t="s">
        <v>55</v>
      </c>
      <c r="C295" s="38">
        <v>41199</v>
      </c>
      <c r="D295" s="39">
        <v>0.57152777777777775</v>
      </c>
      <c r="E295" s="8">
        <v>0.4</v>
      </c>
      <c r="F295" s="32" t="str">
        <f t="shared" si="16"/>
        <v>Yes</v>
      </c>
      <c r="G295" s="32" t="str">
        <f t="shared" si="17"/>
        <v>Yes</v>
      </c>
      <c r="H295" s="40" t="str">
        <f t="shared" si="18"/>
        <v>Yes</v>
      </c>
      <c r="I295" s="41">
        <f t="shared" si="19"/>
        <v>1</v>
      </c>
    </row>
    <row r="296" spans="2:9" x14ac:dyDescent="0.25">
      <c r="B296" s="14" t="s">
        <v>55</v>
      </c>
      <c r="C296" s="38">
        <v>41199</v>
      </c>
      <c r="D296" s="39">
        <v>0.57500000000000007</v>
      </c>
      <c r="E296" s="8">
        <v>0.09</v>
      </c>
      <c r="F296" s="32" t="str">
        <f t="shared" si="16"/>
        <v>Yes</v>
      </c>
      <c r="G296" s="32" t="str">
        <f t="shared" si="17"/>
        <v>Yes</v>
      </c>
      <c r="H296" s="40" t="str">
        <f t="shared" si="18"/>
        <v>Yes</v>
      </c>
      <c r="I296" s="41">
        <f t="shared" si="19"/>
        <v>1</v>
      </c>
    </row>
    <row r="297" spans="2:9" x14ac:dyDescent="0.25">
      <c r="B297" s="14" t="s">
        <v>55</v>
      </c>
      <c r="C297" s="38">
        <v>41199</v>
      </c>
      <c r="D297" s="39">
        <v>0.57638888888888895</v>
      </c>
      <c r="E297" s="8">
        <v>0.13</v>
      </c>
      <c r="F297" s="32" t="str">
        <f t="shared" si="16"/>
        <v>Yes</v>
      </c>
      <c r="G297" s="32" t="str">
        <f t="shared" si="17"/>
        <v>Yes</v>
      </c>
      <c r="H297" s="40" t="str">
        <f t="shared" si="18"/>
        <v>Yes</v>
      </c>
      <c r="I297" s="41">
        <f t="shared" si="19"/>
        <v>1</v>
      </c>
    </row>
    <row r="298" spans="2:9" x14ac:dyDescent="0.25">
      <c r="B298" s="14" t="s">
        <v>55</v>
      </c>
      <c r="C298" s="38">
        <v>41199</v>
      </c>
      <c r="D298" s="39">
        <v>0.57916666666666672</v>
      </c>
      <c r="E298" s="8">
        <v>4.0599999999999996</v>
      </c>
      <c r="F298" s="32" t="str">
        <f t="shared" si="16"/>
        <v>Yes</v>
      </c>
      <c r="G298" s="32" t="str">
        <f t="shared" si="17"/>
        <v>Yes</v>
      </c>
      <c r="H298" s="40" t="str">
        <f t="shared" si="18"/>
        <v>Yes</v>
      </c>
      <c r="I298" s="41">
        <f t="shared" si="19"/>
        <v>5</v>
      </c>
    </row>
    <row r="299" spans="2:9" x14ac:dyDescent="0.25">
      <c r="B299" s="14" t="s">
        <v>55</v>
      </c>
      <c r="C299" s="38">
        <v>41199</v>
      </c>
      <c r="D299" s="39">
        <v>0.61944444444444446</v>
      </c>
      <c r="E299" s="8">
        <v>5.33</v>
      </c>
      <c r="F299" s="32" t="str">
        <f t="shared" si="16"/>
        <v>Yes</v>
      </c>
      <c r="G299" s="32" t="str">
        <f t="shared" si="17"/>
        <v>Yes</v>
      </c>
      <c r="H299" s="40" t="str">
        <f t="shared" si="18"/>
        <v>Yes</v>
      </c>
      <c r="I299" s="41">
        <f t="shared" si="19"/>
        <v>6</v>
      </c>
    </row>
    <row r="300" spans="2:9" x14ac:dyDescent="0.25">
      <c r="B300" s="14" t="s">
        <v>55</v>
      </c>
      <c r="C300" s="38">
        <v>41199</v>
      </c>
      <c r="D300" s="39">
        <v>0.66111111111111109</v>
      </c>
      <c r="E300" s="8">
        <v>1.54</v>
      </c>
      <c r="F300" s="32" t="str">
        <f t="shared" si="16"/>
        <v>Yes</v>
      </c>
      <c r="G300" s="32" t="str">
        <f t="shared" si="17"/>
        <v>Yes</v>
      </c>
      <c r="H300" s="40" t="str">
        <f t="shared" si="18"/>
        <v>Yes</v>
      </c>
      <c r="I300" s="41">
        <f t="shared" si="19"/>
        <v>2</v>
      </c>
    </row>
    <row r="301" spans="2:9" x14ac:dyDescent="0.25">
      <c r="B301" s="14" t="s">
        <v>56</v>
      </c>
      <c r="C301" s="38">
        <v>41200</v>
      </c>
      <c r="D301" s="39">
        <v>0.51597222222222217</v>
      </c>
      <c r="E301" s="8">
        <v>3.68</v>
      </c>
      <c r="F301" s="32" t="str">
        <f t="shared" si="16"/>
        <v>Yes</v>
      </c>
      <c r="G301" s="32" t="str">
        <f t="shared" si="17"/>
        <v>Yes</v>
      </c>
      <c r="H301" s="40" t="str">
        <f t="shared" si="18"/>
        <v>Yes</v>
      </c>
      <c r="I301" s="41">
        <f t="shared" si="19"/>
        <v>4</v>
      </c>
    </row>
    <row r="302" spans="2:9" x14ac:dyDescent="0.25">
      <c r="B302" s="14" t="s">
        <v>56</v>
      </c>
      <c r="C302" s="38">
        <v>41200</v>
      </c>
      <c r="D302" s="39">
        <v>0.57986111111111105</v>
      </c>
      <c r="E302" s="8">
        <v>0.44</v>
      </c>
      <c r="F302" s="32" t="str">
        <f t="shared" si="16"/>
        <v>Yes</v>
      </c>
      <c r="G302" s="32" t="str">
        <f t="shared" si="17"/>
        <v>Yes</v>
      </c>
      <c r="H302" s="40" t="str">
        <f t="shared" si="18"/>
        <v>Yes</v>
      </c>
      <c r="I302" s="41">
        <f t="shared" si="19"/>
        <v>1</v>
      </c>
    </row>
    <row r="303" spans="2:9" x14ac:dyDescent="0.25">
      <c r="B303" s="14" t="s">
        <v>56</v>
      </c>
      <c r="C303" s="38">
        <v>41200</v>
      </c>
      <c r="D303" s="39">
        <v>0.57986111111111105</v>
      </c>
      <c r="E303" s="8">
        <v>0.11</v>
      </c>
      <c r="F303" s="32" t="str">
        <f t="shared" si="16"/>
        <v>Yes</v>
      </c>
      <c r="G303" s="32" t="str">
        <f t="shared" si="17"/>
        <v>Yes</v>
      </c>
      <c r="H303" s="40" t="str">
        <f t="shared" si="18"/>
        <v>Yes</v>
      </c>
      <c r="I303" s="41">
        <f t="shared" si="19"/>
        <v>1</v>
      </c>
    </row>
    <row r="304" spans="2:9" x14ac:dyDescent="0.25">
      <c r="B304" s="14" t="s">
        <v>56</v>
      </c>
      <c r="C304" s="38">
        <v>41200</v>
      </c>
      <c r="D304" s="39">
        <v>0.58333333333333337</v>
      </c>
      <c r="E304" s="8">
        <v>2.63</v>
      </c>
      <c r="F304" s="32" t="str">
        <f t="shared" si="16"/>
        <v>Yes</v>
      </c>
      <c r="G304" s="32" t="str">
        <f t="shared" si="17"/>
        <v>Yes</v>
      </c>
      <c r="H304" s="40" t="str">
        <f t="shared" si="18"/>
        <v>Yes</v>
      </c>
      <c r="I304" s="41">
        <f t="shared" si="19"/>
        <v>3</v>
      </c>
    </row>
    <row r="305" spans="2:9" x14ac:dyDescent="0.25">
      <c r="B305" s="14" t="s">
        <v>56</v>
      </c>
      <c r="C305" s="38">
        <v>41200</v>
      </c>
      <c r="D305" s="39">
        <v>0.6381944444444444</v>
      </c>
      <c r="E305" s="8">
        <v>6</v>
      </c>
      <c r="F305" s="32" t="str">
        <f t="shared" si="16"/>
        <v>Yes</v>
      </c>
      <c r="G305" s="32" t="str">
        <f t="shared" si="17"/>
        <v>Yes</v>
      </c>
      <c r="H305" s="40" t="str">
        <f t="shared" si="18"/>
        <v>Yes</v>
      </c>
      <c r="I305" s="41">
        <f t="shared" si="19"/>
        <v>6</v>
      </c>
    </row>
    <row r="306" spans="2:9" x14ac:dyDescent="0.25">
      <c r="B306" s="14" t="s">
        <v>56</v>
      </c>
      <c r="C306" s="38">
        <v>41200</v>
      </c>
      <c r="D306" s="39">
        <v>0.69027777777777777</v>
      </c>
      <c r="E306" s="8">
        <v>4.8</v>
      </c>
      <c r="F306" s="32" t="str">
        <f t="shared" si="16"/>
        <v>Yes</v>
      </c>
      <c r="G306" s="32" t="str">
        <f t="shared" si="17"/>
        <v>Yes</v>
      </c>
      <c r="H306" s="40" t="str">
        <f t="shared" si="18"/>
        <v>Yes</v>
      </c>
      <c r="I306" s="41">
        <f t="shared" si="19"/>
        <v>5</v>
      </c>
    </row>
    <row r="307" spans="2:9" x14ac:dyDescent="0.25">
      <c r="B307" s="14" t="s">
        <v>56</v>
      </c>
      <c r="C307" s="38">
        <v>41200</v>
      </c>
      <c r="D307" s="39">
        <v>0.74583333333333324</v>
      </c>
      <c r="E307" s="8">
        <v>0.32</v>
      </c>
      <c r="F307" s="32" t="str">
        <f t="shared" si="16"/>
        <v>Yes</v>
      </c>
      <c r="G307" s="32" t="str">
        <f t="shared" si="17"/>
        <v>Yes</v>
      </c>
      <c r="H307" s="40" t="str">
        <f t="shared" si="18"/>
        <v>Yes</v>
      </c>
      <c r="I307" s="41">
        <f t="shared" si="19"/>
        <v>1</v>
      </c>
    </row>
    <row r="308" spans="2:9" x14ac:dyDescent="0.25">
      <c r="B308" s="14" t="s">
        <v>56</v>
      </c>
      <c r="C308" s="38">
        <v>41200</v>
      </c>
      <c r="D308" s="39">
        <v>0.75624999999999998</v>
      </c>
      <c r="E308" s="8">
        <v>0.06</v>
      </c>
      <c r="F308" s="32" t="str">
        <f t="shared" si="16"/>
        <v>Yes</v>
      </c>
      <c r="G308" s="32" t="str">
        <f t="shared" si="17"/>
        <v>Yes</v>
      </c>
      <c r="H308" s="40" t="str">
        <f t="shared" si="18"/>
        <v>Yes</v>
      </c>
      <c r="I308" s="41">
        <f t="shared" si="19"/>
        <v>1</v>
      </c>
    </row>
    <row r="309" spans="2:9" x14ac:dyDescent="0.25">
      <c r="B309" s="14" t="s">
        <v>56</v>
      </c>
      <c r="C309" s="38">
        <v>41200</v>
      </c>
      <c r="D309" s="39">
        <v>0.76250000000000007</v>
      </c>
      <c r="E309" s="8">
        <v>2.5</v>
      </c>
      <c r="F309" s="32" t="str">
        <f t="shared" si="16"/>
        <v>Yes</v>
      </c>
      <c r="G309" s="32" t="str">
        <f t="shared" si="17"/>
        <v>Yes</v>
      </c>
      <c r="H309" s="40" t="str">
        <f t="shared" si="18"/>
        <v>Yes</v>
      </c>
      <c r="I309" s="41">
        <f t="shared" si="19"/>
        <v>3</v>
      </c>
    </row>
    <row r="310" spans="2:9" x14ac:dyDescent="0.25">
      <c r="B310" s="14" t="s">
        <v>56</v>
      </c>
      <c r="C310" s="38">
        <v>41200</v>
      </c>
      <c r="D310" s="39">
        <v>0.78333333333333333</v>
      </c>
      <c r="E310" s="8">
        <v>0.54</v>
      </c>
      <c r="F310" s="32" t="str">
        <f t="shared" si="16"/>
        <v>Yes</v>
      </c>
      <c r="G310" s="32" t="str">
        <f t="shared" si="17"/>
        <v>Yes</v>
      </c>
      <c r="H310" s="40" t="str">
        <f t="shared" si="18"/>
        <v>Yes</v>
      </c>
      <c r="I310" s="41">
        <f t="shared" si="19"/>
        <v>1</v>
      </c>
    </row>
    <row r="311" spans="2:9" x14ac:dyDescent="0.25">
      <c r="B311" s="14" t="s">
        <v>56</v>
      </c>
      <c r="C311" s="38">
        <v>41200</v>
      </c>
      <c r="D311" s="39">
        <v>0.79027777777777775</v>
      </c>
      <c r="E311" s="8">
        <v>3.64</v>
      </c>
      <c r="F311" s="32" t="str">
        <f t="shared" si="16"/>
        <v>Yes</v>
      </c>
      <c r="G311" s="32" t="str">
        <f t="shared" si="17"/>
        <v>Yes</v>
      </c>
      <c r="H311" s="40" t="str">
        <f t="shared" si="18"/>
        <v>Yes</v>
      </c>
      <c r="I311" s="41">
        <f t="shared" si="19"/>
        <v>4</v>
      </c>
    </row>
    <row r="312" spans="2:9" x14ac:dyDescent="0.25">
      <c r="B312" s="14" t="s">
        <v>56</v>
      </c>
      <c r="C312" s="38">
        <v>41200</v>
      </c>
      <c r="D312" s="39">
        <v>0.81874999999999998</v>
      </c>
      <c r="E312" s="8">
        <v>0.55000000000000004</v>
      </c>
      <c r="F312" s="32" t="str">
        <f t="shared" si="16"/>
        <v>Yes</v>
      </c>
      <c r="G312" s="32" t="str">
        <f t="shared" si="17"/>
        <v>No</v>
      </c>
      <c r="H312" s="40" t="str">
        <f t="shared" si="18"/>
        <v>No</v>
      </c>
      <c r="I312" s="41">
        <f t="shared" si="19"/>
        <v>1</v>
      </c>
    </row>
    <row r="313" spans="2:9" x14ac:dyDescent="0.25">
      <c r="B313" s="14" t="s">
        <v>56</v>
      </c>
      <c r="C313" s="38">
        <v>41200</v>
      </c>
      <c r="D313" s="39">
        <v>0.8340277777777777</v>
      </c>
      <c r="E313" s="8">
        <v>0.51</v>
      </c>
      <c r="F313" s="32" t="str">
        <f t="shared" si="16"/>
        <v>Yes</v>
      </c>
      <c r="G313" s="32" t="str">
        <f t="shared" si="17"/>
        <v>No</v>
      </c>
      <c r="H313" s="40" t="str">
        <f t="shared" si="18"/>
        <v>No</v>
      </c>
      <c r="I313" s="41">
        <f t="shared" si="19"/>
        <v>1</v>
      </c>
    </row>
    <row r="314" spans="2:9" x14ac:dyDescent="0.25">
      <c r="B314" s="14" t="s">
        <v>56</v>
      </c>
      <c r="C314" s="38">
        <v>41200</v>
      </c>
      <c r="D314" s="39">
        <v>0.84930555555555554</v>
      </c>
      <c r="E314" s="8">
        <v>2.34</v>
      </c>
      <c r="F314" s="32" t="str">
        <f t="shared" si="16"/>
        <v>Yes</v>
      </c>
      <c r="G314" s="32" t="str">
        <f t="shared" si="17"/>
        <v>No</v>
      </c>
      <c r="H314" s="40" t="str">
        <f t="shared" si="18"/>
        <v>No</v>
      </c>
      <c r="I314" s="41">
        <f t="shared" si="19"/>
        <v>3</v>
      </c>
    </row>
    <row r="315" spans="2:9" x14ac:dyDescent="0.25">
      <c r="B315" s="14" t="s">
        <v>56</v>
      </c>
      <c r="C315" s="38">
        <v>41200</v>
      </c>
      <c r="D315" s="39">
        <v>0.87569444444444444</v>
      </c>
      <c r="E315" s="8">
        <v>1.1200000000000001</v>
      </c>
      <c r="F315" s="32" t="str">
        <f t="shared" si="16"/>
        <v>Yes</v>
      </c>
      <c r="G315" s="32" t="str">
        <f t="shared" si="17"/>
        <v>No</v>
      </c>
      <c r="H315" s="40" t="str">
        <f t="shared" si="18"/>
        <v>No</v>
      </c>
      <c r="I315" s="41">
        <f t="shared" si="19"/>
        <v>2</v>
      </c>
    </row>
    <row r="316" spans="2:9" x14ac:dyDescent="0.25">
      <c r="B316" s="14" t="s">
        <v>56</v>
      </c>
      <c r="C316" s="38">
        <v>41200</v>
      </c>
      <c r="D316" s="39">
        <v>0.95347222222222217</v>
      </c>
      <c r="E316" s="8">
        <v>0.15</v>
      </c>
      <c r="F316" s="32" t="str">
        <f t="shared" si="16"/>
        <v>Yes</v>
      </c>
      <c r="G316" s="32" t="str">
        <f t="shared" si="17"/>
        <v>No</v>
      </c>
      <c r="H316" s="40" t="str">
        <f t="shared" si="18"/>
        <v>No</v>
      </c>
      <c r="I316" s="41">
        <f t="shared" si="19"/>
        <v>1</v>
      </c>
    </row>
    <row r="317" spans="2:9" x14ac:dyDescent="0.25">
      <c r="B317" s="14" t="s">
        <v>56</v>
      </c>
      <c r="C317" s="38">
        <v>41200</v>
      </c>
      <c r="D317" s="39">
        <v>0.96388888888888891</v>
      </c>
      <c r="E317" s="8">
        <v>0.64</v>
      </c>
      <c r="F317" s="32" t="str">
        <f t="shared" si="16"/>
        <v>Yes</v>
      </c>
      <c r="G317" s="32" t="str">
        <f t="shared" si="17"/>
        <v>No</v>
      </c>
      <c r="H317" s="40" t="str">
        <f t="shared" si="18"/>
        <v>No</v>
      </c>
      <c r="I317" s="41">
        <f t="shared" si="19"/>
        <v>1</v>
      </c>
    </row>
    <row r="318" spans="2:9" x14ac:dyDescent="0.25">
      <c r="B318" s="14" t="s">
        <v>56</v>
      </c>
      <c r="C318" s="38">
        <v>41200</v>
      </c>
      <c r="D318" s="39">
        <v>0.97430555555555554</v>
      </c>
      <c r="E318" s="8">
        <v>1.05</v>
      </c>
      <c r="F318" s="32" t="str">
        <f t="shared" si="16"/>
        <v>Yes</v>
      </c>
      <c r="G318" s="32" t="str">
        <f t="shared" si="17"/>
        <v>No</v>
      </c>
      <c r="H318" s="40" t="str">
        <f t="shared" si="18"/>
        <v>No</v>
      </c>
      <c r="I318" s="41">
        <f t="shared" si="19"/>
        <v>2</v>
      </c>
    </row>
    <row r="319" spans="2:9" x14ac:dyDescent="0.25">
      <c r="B319" s="14" t="s">
        <v>56</v>
      </c>
      <c r="C319" s="38">
        <v>41200</v>
      </c>
      <c r="D319" s="39">
        <v>0.9902777777777777</v>
      </c>
      <c r="E319" s="8">
        <v>1</v>
      </c>
      <c r="F319" s="32" t="str">
        <f t="shared" si="16"/>
        <v>Yes</v>
      </c>
      <c r="G319" s="32" t="str">
        <f t="shared" si="17"/>
        <v>No</v>
      </c>
      <c r="H319" s="40" t="str">
        <f t="shared" si="18"/>
        <v>No</v>
      </c>
      <c r="I319" s="41">
        <f t="shared" si="19"/>
        <v>1</v>
      </c>
    </row>
    <row r="320" spans="2:9" x14ac:dyDescent="0.25">
      <c r="B320" s="14" t="s">
        <v>56</v>
      </c>
      <c r="C320" s="38">
        <v>41200</v>
      </c>
      <c r="D320" s="39">
        <v>0.99861111111111101</v>
      </c>
      <c r="E320" s="8">
        <v>0.93</v>
      </c>
      <c r="F320" s="32" t="str">
        <f t="shared" si="16"/>
        <v>Yes</v>
      </c>
      <c r="G320" s="32" t="str">
        <f t="shared" si="17"/>
        <v>No</v>
      </c>
      <c r="H320" s="40" t="str">
        <f t="shared" si="18"/>
        <v>No</v>
      </c>
      <c r="I320" s="41">
        <f t="shared" si="19"/>
        <v>1</v>
      </c>
    </row>
    <row r="321" spans="2:9" x14ac:dyDescent="0.25">
      <c r="B321" s="14" t="s">
        <v>56</v>
      </c>
      <c r="C321" s="38">
        <v>41200</v>
      </c>
      <c r="D321" s="39">
        <v>1.0180555555555555</v>
      </c>
      <c r="E321" s="8">
        <v>1.2</v>
      </c>
      <c r="F321" s="32" t="str">
        <f t="shared" si="16"/>
        <v>Yes</v>
      </c>
      <c r="G321" s="32" t="str">
        <f t="shared" si="17"/>
        <v>No</v>
      </c>
      <c r="H321" s="40" t="str">
        <f t="shared" si="18"/>
        <v>No</v>
      </c>
      <c r="I321" s="41">
        <f t="shared" si="19"/>
        <v>2</v>
      </c>
    </row>
    <row r="322" spans="2:9" x14ac:dyDescent="0.25">
      <c r="B322" s="14" t="s">
        <v>57</v>
      </c>
      <c r="C322" s="38">
        <v>41201</v>
      </c>
      <c r="D322" s="39">
        <v>0.35347222222222219</v>
      </c>
      <c r="E322" s="8">
        <v>1.74</v>
      </c>
      <c r="F322" s="32" t="str">
        <f t="shared" si="16"/>
        <v>Yes</v>
      </c>
      <c r="G322" s="32" t="str">
        <f t="shared" si="17"/>
        <v>Yes</v>
      </c>
      <c r="H322" s="40" t="str">
        <f t="shared" si="18"/>
        <v>Yes</v>
      </c>
      <c r="I322" s="41">
        <f t="shared" si="19"/>
        <v>2</v>
      </c>
    </row>
    <row r="323" spans="2:9" x14ac:dyDescent="0.25">
      <c r="B323" s="14" t="s">
        <v>57</v>
      </c>
      <c r="C323" s="38">
        <v>41201</v>
      </c>
      <c r="D323" s="39">
        <v>0.41388888888888892</v>
      </c>
      <c r="E323" s="8">
        <v>1.7</v>
      </c>
      <c r="F323" s="32" t="str">
        <f t="shared" si="16"/>
        <v>Yes</v>
      </c>
      <c r="G323" s="32" t="str">
        <f t="shared" si="17"/>
        <v>Yes</v>
      </c>
      <c r="H323" s="40" t="str">
        <f t="shared" si="18"/>
        <v>Yes</v>
      </c>
      <c r="I323" s="41">
        <f t="shared" si="19"/>
        <v>2</v>
      </c>
    </row>
    <row r="324" spans="2:9" x14ac:dyDescent="0.25">
      <c r="B324" s="14" t="s">
        <v>57</v>
      </c>
      <c r="C324" s="38">
        <v>41201</v>
      </c>
      <c r="D324" s="39">
        <v>0.44930555555555557</v>
      </c>
      <c r="E324" s="8">
        <v>0.84</v>
      </c>
      <c r="F324" s="32" t="str">
        <f t="shared" ref="F324:F387" si="20">IF(OR(B324="Sunday",B324="Saturday"),"No","Yes")</f>
        <v>Yes</v>
      </c>
      <c r="G324" s="32" t="str">
        <f t="shared" ref="G324:G387" si="21">IF(D324&lt;0.7916,"Yes","No")</f>
        <v>Yes</v>
      </c>
      <c r="H324" s="40" t="str">
        <f t="shared" ref="H324:H387" si="22">IF(AND(F324="Yes",G324="Yes"),"Yes","No")</f>
        <v>Yes</v>
      </c>
      <c r="I324" s="41">
        <f t="shared" ref="I324:I387" si="23">ROUNDUP(E324,0)</f>
        <v>1</v>
      </c>
    </row>
    <row r="325" spans="2:9" x14ac:dyDescent="0.25">
      <c r="B325" s="14" t="s">
        <v>57</v>
      </c>
      <c r="C325" s="38">
        <v>41201</v>
      </c>
      <c r="D325" s="39">
        <v>0.46875</v>
      </c>
      <c r="E325" s="8">
        <v>0.4</v>
      </c>
      <c r="F325" s="32" t="str">
        <f t="shared" si="20"/>
        <v>Yes</v>
      </c>
      <c r="G325" s="32" t="str">
        <f t="shared" si="21"/>
        <v>Yes</v>
      </c>
      <c r="H325" s="40" t="str">
        <f t="shared" si="22"/>
        <v>Yes</v>
      </c>
      <c r="I325" s="41">
        <f t="shared" si="23"/>
        <v>1</v>
      </c>
    </row>
    <row r="326" spans="2:9" x14ac:dyDescent="0.25">
      <c r="B326" s="14" t="s">
        <v>57</v>
      </c>
      <c r="C326" s="38">
        <v>41201</v>
      </c>
      <c r="D326" s="39">
        <v>0.47222222222222227</v>
      </c>
      <c r="E326" s="8">
        <v>7.0000000000000007E-2</v>
      </c>
      <c r="F326" s="32" t="str">
        <f t="shared" si="20"/>
        <v>Yes</v>
      </c>
      <c r="G326" s="32" t="str">
        <f t="shared" si="21"/>
        <v>Yes</v>
      </c>
      <c r="H326" s="40" t="str">
        <f t="shared" si="22"/>
        <v>Yes</v>
      </c>
      <c r="I326" s="41">
        <f t="shared" si="23"/>
        <v>1</v>
      </c>
    </row>
    <row r="327" spans="2:9" x14ac:dyDescent="0.25">
      <c r="B327" s="14" t="s">
        <v>57</v>
      </c>
      <c r="C327" s="38">
        <v>41201</v>
      </c>
      <c r="D327" s="39">
        <v>0.47430555555555554</v>
      </c>
      <c r="E327" s="8">
        <v>2.33</v>
      </c>
      <c r="F327" s="32" t="str">
        <f t="shared" si="20"/>
        <v>Yes</v>
      </c>
      <c r="G327" s="32" t="str">
        <f t="shared" si="21"/>
        <v>Yes</v>
      </c>
      <c r="H327" s="40" t="str">
        <f t="shared" si="22"/>
        <v>Yes</v>
      </c>
      <c r="I327" s="41">
        <f t="shared" si="23"/>
        <v>3</v>
      </c>
    </row>
    <row r="328" spans="2:9" x14ac:dyDescent="0.25">
      <c r="B328" s="14" t="s">
        <v>57</v>
      </c>
      <c r="C328" s="38">
        <v>41201</v>
      </c>
      <c r="D328" s="39">
        <v>0.51874999999999993</v>
      </c>
      <c r="E328" s="8">
        <v>0.9</v>
      </c>
      <c r="F328" s="32" t="str">
        <f t="shared" si="20"/>
        <v>Yes</v>
      </c>
      <c r="G328" s="32" t="str">
        <f t="shared" si="21"/>
        <v>Yes</v>
      </c>
      <c r="H328" s="40" t="str">
        <f t="shared" si="22"/>
        <v>Yes</v>
      </c>
      <c r="I328" s="41">
        <f t="shared" si="23"/>
        <v>1</v>
      </c>
    </row>
    <row r="329" spans="2:9" x14ac:dyDescent="0.25">
      <c r="B329" s="14" t="s">
        <v>57</v>
      </c>
      <c r="C329" s="38">
        <v>41201</v>
      </c>
      <c r="D329" s="39">
        <v>0.53125</v>
      </c>
      <c r="E329" s="8">
        <v>0.09</v>
      </c>
      <c r="F329" s="32" t="str">
        <f t="shared" si="20"/>
        <v>Yes</v>
      </c>
      <c r="G329" s="32" t="str">
        <f t="shared" si="21"/>
        <v>Yes</v>
      </c>
      <c r="H329" s="40" t="str">
        <f t="shared" si="22"/>
        <v>Yes</v>
      </c>
      <c r="I329" s="41">
        <f t="shared" si="23"/>
        <v>1</v>
      </c>
    </row>
    <row r="330" spans="2:9" x14ac:dyDescent="0.25">
      <c r="B330" s="14" t="s">
        <v>57</v>
      </c>
      <c r="C330" s="38">
        <v>41201</v>
      </c>
      <c r="D330" s="39">
        <v>0.53263888888888888</v>
      </c>
      <c r="E330" s="8">
        <v>0.72</v>
      </c>
      <c r="F330" s="32" t="str">
        <f t="shared" si="20"/>
        <v>Yes</v>
      </c>
      <c r="G330" s="32" t="str">
        <f t="shared" si="21"/>
        <v>Yes</v>
      </c>
      <c r="H330" s="40" t="str">
        <f t="shared" si="22"/>
        <v>Yes</v>
      </c>
      <c r="I330" s="41">
        <f t="shared" si="23"/>
        <v>1</v>
      </c>
    </row>
    <row r="331" spans="2:9" x14ac:dyDescent="0.25">
      <c r="B331" s="14" t="s">
        <v>57</v>
      </c>
      <c r="C331" s="38">
        <v>41201</v>
      </c>
      <c r="D331" s="39">
        <v>0.54166666666666663</v>
      </c>
      <c r="E331" s="8">
        <v>0.01</v>
      </c>
      <c r="F331" s="32" t="str">
        <f t="shared" si="20"/>
        <v>Yes</v>
      </c>
      <c r="G331" s="32" t="str">
        <f t="shared" si="21"/>
        <v>Yes</v>
      </c>
      <c r="H331" s="40" t="str">
        <f t="shared" si="22"/>
        <v>Yes</v>
      </c>
      <c r="I331" s="41">
        <f t="shared" si="23"/>
        <v>1</v>
      </c>
    </row>
    <row r="332" spans="2:9" x14ac:dyDescent="0.25">
      <c r="B332" s="14" t="s">
        <v>57</v>
      </c>
      <c r="C332" s="38">
        <v>41201</v>
      </c>
      <c r="D332" s="39">
        <v>0.54236111111111118</v>
      </c>
      <c r="E332" s="8">
        <v>0.51</v>
      </c>
      <c r="F332" s="32" t="str">
        <f t="shared" si="20"/>
        <v>Yes</v>
      </c>
      <c r="G332" s="32" t="str">
        <f t="shared" si="21"/>
        <v>Yes</v>
      </c>
      <c r="H332" s="40" t="str">
        <f t="shared" si="22"/>
        <v>Yes</v>
      </c>
      <c r="I332" s="41">
        <f t="shared" si="23"/>
        <v>1</v>
      </c>
    </row>
    <row r="333" spans="2:9" x14ac:dyDescent="0.25">
      <c r="B333" s="14" t="s">
        <v>57</v>
      </c>
      <c r="C333" s="38">
        <v>41201</v>
      </c>
      <c r="D333" s="39">
        <v>0.55208333333333337</v>
      </c>
      <c r="E333" s="8">
        <v>2.0499999999999998</v>
      </c>
      <c r="F333" s="32" t="str">
        <f t="shared" si="20"/>
        <v>Yes</v>
      </c>
      <c r="G333" s="32" t="str">
        <f t="shared" si="21"/>
        <v>Yes</v>
      </c>
      <c r="H333" s="40" t="str">
        <f t="shared" si="22"/>
        <v>Yes</v>
      </c>
      <c r="I333" s="41">
        <f t="shared" si="23"/>
        <v>3</v>
      </c>
    </row>
    <row r="334" spans="2:9" x14ac:dyDescent="0.25">
      <c r="B334" s="14" t="s">
        <v>57</v>
      </c>
      <c r="C334" s="38">
        <v>41201</v>
      </c>
      <c r="D334" s="39">
        <v>0.56944444444444442</v>
      </c>
      <c r="E334" s="8">
        <v>2.08</v>
      </c>
      <c r="F334" s="32" t="str">
        <f t="shared" si="20"/>
        <v>Yes</v>
      </c>
      <c r="G334" s="32" t="str">
        <f t="shared" si="21"/>
        <v>Yes</v>
      </c>
      <c r="H334" s="40" t="str">
        <f t="shared" si="22"/>
        <v>Yes</v>
      </c>
      <c r="I334" s="41">
        <f t="shared" si="23"/>
        <v>3</v>
      </c>
    </row>
    <row r="335" spans="2:9" x14ac:dyDescent="0.25">
      <c r="B335" s="14" t="s">
        <v>57</v>
      </c>
      <c r="C335" s="38">
        <v>41201</v>
      </c>
      <c r="D335" s="39">
        <v>0.60069444444444442</v>
      </c>
      <c r="E335" s="8">
        <v>7.0000000000000007E-2</v>
      </c>
      <c r="F335" s="32" t="str">
        <f t="shared" si="20"/>
        <v>Yes</v>
      </c>
      <c r="G335" s="32" t="str">
        <f t="shared" si="21"/>
        <v>Yes</v>
      </c>
      <c r="H335" s="40" t="str">
        <f t="shared" si="22"/>
        <v>Yes</v>
      </c>
      <c r="I335" s="41">
        <f t="shared" si="23"/>
        <v>1</v>
      </c>
    </row>
    <row r="336" spans="2:9" x14ac:dyDescent="0.25">
      <c r="B336" s="14" t="s">
        <v>57</v>
      </c>
      <c r="C336" s="38">
        <v>41201</v>
      </c>
      <c r="D336" s="39">
        <v>0.60138888888888886</v>
      </c>
      <c r="E336" s="8">
        <v>0.35</v>
      </c>
      <c r="F336" s="32" t="str">
        <f t="shared" si="20"/>
        <v>Yes</v>
      </c>
      <c r="G336" s="32" t="str">
        <f t="shared" si="21"/>
        <v>Yes</v>
      </c>
      <c r="H336" s="40" t="str">
        <f t="shared" si="22"/>
        <v>Yes</v>
      </c>
      <c r="I336" s="41">
        <f t="shared" si="23"/>
        <v>1</v>
      </c>
    </row>
    <row r="337" spans="2:9" x14ac:dyDescent="0.25">
      <c r="B337" s="14" t="s">
        <v>57</v>
      </c>
      <c r="C337" s="38">
        <v>41201</v>
      </c>
      <c r="D337" s="39">
        <v>0.60625000000000007</v>
      </c>
      <c r="E337" s="8">
        <v>4.6900000000000004</v>
      </c>
      <c r="F337" s="32" t="str">
        <f t="shared" si="20"/>
        <v>Yes</v>
      </c>
      <c r="G337" s="32" t="str">
        <f t="shared" si="21"/>
        <v>Yes</v>
      </c>
      <c r="H337" s="40" t="str">
        <f t="shared" si="22"/>
        <v>Yes</v>
      </c>
      <c r="I337" s="41">
        <f t="shared" si="23"/>
        <v>5</v>
      </c>
    </row>
    <row r="338" spans="2:9" x14ac:dyDescent="0.25">
      <c r="B338" s="14" t="s">
        <v>57</v>
      </c>
      <c r="C338" s="38">
        <v>41201</v>
      </c>
      <c r="D338" s="39">
        <v>0.65277777777777779</v>
      </c>
      <c r="E338" s="8">
        <v>0.72</v>
      </c>
      <c r="F338" s="32" t="str">
        <f t="shared" si="20"/>
        <v>Yes</v>
      </c>
      <c r="G338" s="32" t="str">
        <f t="shared" si="21"/>
        <v>Yes</v>
      </c>
      <c r="H338" s="40" t="str">
        <f t="shared" si="22"/>
        <v>Yes</v>
      </c>
      <c r="I338" s="41">
        <f t="shared" si="23"/>
        <v>1</v>
      </c>
    </row>
    <row r="339" spans="2:9" x14ac:dyDescent="0.25">
      <c r="B339" s="14" t="s">
        <v>57</v>
      </c>
      <c r="C339" s="38">
        <v>41201</v>
      </c>
      <c r="D339" s="39">
        <v>0.66111111111111109</v>
      </c>
      <c r="E339" s="8">
        <v>2.64</v>
      </c>
      <c r="F339" s="32" t="str">
        <f t="shared" si="20"/>
        <v>Yes</v>
      </c>
      <c r="G339" s="32" t="str">
        <f t="shared" si="21"/>
        <v>Yes</v>
      </c>
      <c r="H339" s="40" t="str">
        <f t="shared" si="22"/>
        <v>Yes</v>
      </c>
      <c r="I339" s="41">
        <f t="shared" si="23"/>
        <v>3</v>
      </c>
    </row>
    <row r="340" spans="2:9" x14ac:dyDescent="0.25">
      <c r="B340" s="14" t="s">
        <v>57</v>
      </c>
      <c r="C340" s="38">
        <v>41201</v>
      </c>
      <c r="D340" s="39">
        <v>0.68958333333333333</v>
      </c>
      <c r="E340" s="8">
        <v>3.67</v>
      </c>
      <c r="F340" s="32" t="str">
        <f t="shared" si="20"/>
        <v>Yes</v>
      </c>
      <c r="G340" s="32" t="str">
        <f t="shared" si="21"/>
        <v>Yes</v>
      </c>
      <c r="H340" s="40" t="str">
        <f t="shared" si="22"/>
        <v>Yes</v>
      </c>
      <c r="I340" s="41">
        <f t="shared" si="23"/>
        <v>4</v>
      </c>
    </row>
    <row r="341" spans="2:9" x14ac:dyDescent="0.25">
      <c r="B341" s="14" t="s">
        <v>58</v>
      </c>
      <c r="C341" s="38">
        <v>41202</v>
      </c>
      <c r="D341" s="39">
        <v>0.41805555555555557</v>
      </c>
      <c r="E341" s="8">
        <v>0.37</v>
      </c>
      <c r="F341" s="32" t="str">
        <f t="shared" si="20"/>
        <v>No</v>
      </c>
      <c r="G341" s="32" t="str">
        <f t="shared" si="21"/>
        <v>Yes</v>
      </c>
      <c r="H341" s="40" t="str">
        <f t="shared" si="22"/>
        <v>No</v>
      </c>
      <c r="I341" s="41">
        <f t="shared" si="23"/>
        <v>1</v>
      </c>
    </row>
    <row r="342" spans="2:9" x14ac:dyDescent="0.25">
      <c r="B342" s="14" t="s">
        <v>58</v>
      </c>
      <c r="C342" s="38">
        <v>41202</v>
      </c>
      <c r="D342" s="39">
        <v>0.42222222222222222</v>
      </c>
      <c r="E342" s="8">
        <v>0.82</v>
      </c>
      <c r="F342" s="32" t="str">
        <f t="shared" si="20"/>
        <v>No</v>
      </c>
      <c r="G342" s="32" t="str">
        <f t="shared" si="21"/>
        <v>Yes</v>
      </c>
      <c r="H342" s="40" t="str">
        <f t="shared" si="22"/>
        <v>No</v>
      </c>
      <c r="I342" s="41">
        <f t="shared" si="23"/>
        <v>1</v>
      </c>
    </row>
    <row r="343" spans="2:9" x14ac:dyDescent="0.25">
      <c r="B343" s="14" t="s">
        <v>58</v>
      </c>
      <c r="C343" s="38">
        <v>41202</v>
      </c>
      <c r="D343" s="39">
        <v>0.43194444444444446</v>
      </c>
      <c r="E343" s="8">
        <v>3.62</v>
      </c>
      <c r="F343" s="32" t="str">
        <f t="shared" si="20"/>
        <v>No</v>
      </c>
      <c r="G343" s="32" t="str">
        <f t="shared" si="21"/>
        <v>Yes</v>
      </c>
      <c r="H343" s="40" t="str">
        <f t="shared" si="22"/>
        <v>No</v>
      </c>
      <c r="I343" s="41">
        <f t="shared" si="23"/>
        <v>4</v>
      </c>
    </row>
    <row r="344" spans="2:9" x14ac:dyDescent="0.25">
      <c r="B344" s="14" t="s">
        <v>58</v>
      </c>
      <c r="C344" s="38">
        <v>41202</v>
      </c>
      <c r="D344" s="39">
        <v>0.46458333333333335</v>
      </c>
      <c r="E344" s="8">
        <v>1.96</v>
      </c>
      <c r="F344" s="32" t="str">
        <f t="shared" si="20"/>
        <v>No</v>
      </c>
      <c r="G344" s="32" t="str">
        <f t="shared" si="21"/>
        <v>Yes</v>
      </c>
      <c r="H344" s="40" t="str">
        <f t="shared" si="22"/>
        <v>No</v>
      </c>
      <c r="I344" s="41">
        <f t="shared" si="23"/>
        <v>2</v>
      </c>
    </row>
    <row r="345" spans="2:9" x14ac:dyDescent="0.25">
      <c r="B345" s="14" t="s">
        <v>58</v>
      </c>
      <c r="C345" s="38">
        <v>41202</v>
      </c>
      <c r="D345" s="39">
        <v>0.48125000000000001</v>
      </c>
      <c r="E345" s="8">
        <v>0.28999999999999998</v>
      </c>
      <c r="F345" s="32" t="str">
        <f t="shared" si="20"/>
        <v>No</v>
      </c>
      <c r="G345" s="32" t="str">
        <f t="shared" si="21"/>
        <v>Yes</v>
      </c>
      <c r="H345" s="40" t="str">
        <f t="shared" si="22"/>
        <v>No</v>
      </c>
      <c r="I345" s="41">
        <f t="shared" si="23"/>
        <v>1</v>
      </c>
    </row>
    <row r="346" spans="2:9" x14ac:dyDescent="0.25">
      <c r="B346" s="14" t="s">
        <v>58</v>
      </c>
      <c r="C346" s="38">
        <v>41202</v>
      </c>
      <c r="D346" s="39">
        <v>0.49444444444444446</v>
      </c>
      <c r="E346" s="8">
        <v>2.5</v>
      </c>
      <c r="F346" s="32" t="str">
        <f t="shared" si="20"/>
        <v>No</v>
      </c>
      <c r="G346" s="32" t="str">
        <f t="shared" si="21"/>
        <v>Yes</v>
      </c>
      <c r="H346" s="40" t="str">
        <f t="shared" si="22"/>
        <v>No</v>
      </c>
      <c r="I346" s="41">
        <f t="shared" si="23"/>
        <v>3</v>
      </c>
    </row>
    <row r="347" spans="2:9" x14ac:dyDescent="0.25">
      <c r="B347" s="14" t="s">
        <v>58</v>
      </c>
      <c r="C347" s="38">
        <v>41202</v>
      </c>
      <c r="D347" s="39">
        <v>0.51180555555555551</v>
      </c>
      <c r="E347" s="8">
        <v>1.96</v>
      </c>
      <c r="F347" s="32" t="str">
        <f t="shared" si="20"/>
        <v>No</v>
      </c>
      <c r="G347" s="32" t="str">
        <f t="shared" si="21"/>
        <v>Yes</v>
      </c>
      <c r="H347" s="40" t="str">
        <f t="shared" si="22"/>
        <v>No</v>
      </c>
      <c r="I347" s="41">
        <f t="shared" si="23"/>
        <v>2</v>
      </c>
    </row>
    <row r="348" spans="2:9" x14ac:dyDescent="0.25">
      <c r="B348" s="14" t="s">
        <v>58</v>
      </c>
      <c r="C348" s="38">
        <v>41202</v>
      </c>
      <c r="D348" s="39">
        <v>0.52847222222222223</v>
      </c>
      <c r="E348" s="8">
        <v>1.17</v>
      </c>
      <c r="F348" s="32" t="str">
        <f t="shared" si="20"/>
        <v>No</v>
      </c>
      <c r="G348" s="32" t="str">
        <f t="shared" si="21"/>
        <v>Yes</v>
      </c>
      <c r="H348" s="40" t="str">
        <f t="shared" si="22"/>
        <v>No</v>
      </c>
      <c r="I348" s="41">
        <f t="shared" si="23"/>
        <v>2</v>
      </c>
    </row>
    <row r="349" spans="2:9" x14ac:dyDescent="0.25">
      <c r="B349" s="14" t="s">
        <v>58</v>
      </c>
      <c r="C349" s="38">
        <v>41202</v>
      </c>
      <c r="D349" s="39">
        <v>0.54305555555555551</v>
      </c>
      <c r="E349" s="8">
        <v>1.4</v>
      </c>
      <c r="F349" s="32" t="str">
        <f t="shared" si="20"/>
        <v>No</v>
      </c>
      <c r="G349" s="32" t="str">
        <f t="shared" si="21"/>
        <v>Yes</v>
      </c>
      <c r="H349" s="40" t="str">
        <f t="shared" si="22"/>
        <v>No</v>
      </c>
      <c r="I349" s="41">
        <f t="shared" si="23"/>
        <v>2</v>
      </c>
    </row>
    <row r="350" spans="2:9" x14ac:dyDescent="0.25">
      <c r="B350" s="14" t="s">
        <v>58</v>
      </c>
      <c r="C350" s="38">
        <v>41202</v>
      </c>
      <c r="D350" s="39">
        <v>0.5625</v>
      </c>
      <c r="E350" s="8">
        <v>0.37</v>
      </c>
      <c r="F350" s="32" t="str">
        <f t="shared" si="20"/>
        <v>No</v>
      </c>
      <c r="G350" s="32" t="str">
        <f t="shared" si="21"/>
        <v>Yes</v>
      </c>
      <c r="H350" s="40" t="str">
        <f t="shared" si="22"/>
        <v>No</v>
      </c>
      <c r="I350" s="41">
        <f t="shared" si="23"/>
        <v>1</v>
      </c>
    </row>
    <row r="351" spans="2:9" x14ac:dyDescent="0.25">
      <c r="B351" s="14" t="s">
        <v>58</v>
      </c>
      <c r="C351" s="38">
        <v>41202</v>
      </c>
      <c r="D351" s="39">
        <v>0.59583333333333333</v>
      </c>
      <c r="E351" s="8">
        <v>2.2400000000000002</v>
      </c>
      <c r="F351" s="32" t="str">
        <f t="shared" si="20"/>
        <v>No</v>
      </c>
      <c r="G351" s="32" t="str">
        <f t="shared" si="21"/>
        <v>Yes</v>
      </c>
      <c r="H351" s="40" t="str">
        <f t="shared" si="22"/>
        <v>No</v>
      </c>
      <c r="I351" s="41">
        <f t="shared" si="23"/>
        <v>3</v>
      </c>
    </row>
    <row r="352" spans="2:9" x14ac:dyDescent="0.25">
      <c r="B352" s="14" t="s">
        <v>58</v>
      </c>
      <c r="C352" s="38">
        <v>41202</v>
      </c>
      <c r="D352" s="39">
        <v>0.61805555555555558</v>
      </c>
      <c r="E352" s="8">
        <v>3.19</v>
      </c>
      <c r="F352" s="32" t="str">
        <f t="shared" si="20"/>
        <v>No</v>
      </c>
      <c r="G352" s="32" t="str">
        <f t="shared" si="21"/>
        <v>Yes</v>
      </c>
      <c r="H352" s="40" t="str">
        <f t="shared" si="22"/>
        <v>No</v>
      </c>
      <c r="I352" s="41">
        <f t="shared" si="23"/>
        <v>4</v>
      </c>
    </row>
    <row r="353" spans="2:9" x14ac:dyDescent="0.25">
      <c r="B353" s="14" t="s">
        <v>58</v>
      </c>
      <c r="C353" s="38">
        <v>41202</v>
      </c>
      <c r="D353" s="39">
        <v>0.64513888888888882</v>
      </c>
      <c r="E353" s="8">
        <v>1.32</v>
      </c>
      <c r="F353" s="32" t="str">
        <f t="shared" si="20"/>
        <v>No</v>
      </c>
      <c r="G353" s="32" t="str">
        <f t="shared" si="21"/>
        <v>Yes</v>
      </c>
      <c r="H353" s="40" t="str">
        <f t="shared" si="22"/>
        <v>No</v>
      </c>
      <c r="I353" s="41">
        <f t="shared" si="23"/>
        <v>2</v>
      </c>
    </row>
    <row r="354" spans="2:9" x14ac:dyDescent="0.25">
      <c r="B354" s="14" t="s">
        <v>58</v>
      </c>
      <c r="C354" s="38">
        <v>41202</v>
      </c>
      <c r="D354" s="39">
        <v>0.66805555555555562</v>
      </c>
      <c r="E354" s="8">
        <v>2.5299999999999998</v>
      </c>
      <c r="F354" s="32" t="str">
        <f t="shared" si="20"/>
        <v>No</v>
      </c>
      <c r="G354" s="32" t="str">
        <f t="shared" si="21"/>
        <v>Yes</v>
      </c>
      <c r="H354" s="40" t="str">
        <f t="shared" si="22"/>
        <v>No</v>
      </c>
      <c r="I354" s="41">
        <f t="shared" si="23"/>
        <v>3</v>
      </c>
    </row>
    <row r="355" spans="2:9" x14ac:dyDescent="0.25">
      <c r="B355" s="14" t="s">
        <v>58</v>
      </c>
      <c r="C355" s="38">
        <v>41202</v>
      </c>
      <c r="D355" s="39">
        <v>0.70763888888888893</v>
      </c>
      <c r="E355" s="8">
        <v>0.28000000000000003</v>
      </c>
      <c r="F355" s="32" t="str">
        <f t="shared" si="20"/>
        <v>No</v>
      </c>
      <c r="G355" s="32" t="str">
        <f t="shared" si="21"/>
        <v>Yes</v>
      </c>
      <c r="H355" s="40" t="str">
        <f t="shared" si="22"/>
        <v>No</v>
      </c>
      <c r="I355" s="41">
        <f t="shared" si="23"/>
        <v>1</v>
      </c>
    </row>
    <row r="356" spans="2:9" x14ac:dyDescent="0.25">
      <c r="B356" s="14" t="s">
        <v>58</v>
      </c>
      <c r="C356" s="38">
        <v>41202</v>
      </c>
      <c r="D356" s="39">
        <v>0.71944444444444444</v>
      </c>
      <c r="E356" s="8">
        <v>0.54</v>
      </c>
      <c r="F356" s="32" t="str">
        <f t="shared" si="20"/>
        <v>No</v>
      </c>
      <c r="G356" s="32" t="str">
        <f t="shared" si="21"/>
        <v>Yes</v>
      </c>
      <c r="H356" s="40" t="str">
        <f t="shared" si="22"/>
        <v>No</v>
      </c>
      <c r="I356" s="41">
        <f t="shared" si="23"/>
        <v>1</v>
      </c>
    </row>
    <row r="357" spans="2:9" x14ac:dyDescent="0.25">
      <c r="B357" s="14" t="s">
        <v>58</v>
      </c>
      <c r="C357" s="38">
        <v>41202</v>
      </c>
      <c r="D357" s="39">
        <v>0.72569444444444453</v>
      </c>
      <c r="E357" s="8">
        <v>1.21</v>
      </c>
      <c r="F357" s="32" t="str">
        <f t="shared" si="20"/>
        <v>No</v>
      </c>
      <c r="G357" s="32" t="str">
        <f t="shared" si="21"/>
        <v>Yes</v>
      </c>
      <c r="H357" s="40" t="str">
        <f t="shared" si="22"/>
        <v>No</v>
      </c>
      <c r="I357" s="41">
        <f t="shared" si="23"/>
        <v>2</v>
      </c>
    </row>
    <row r="358" spans="2:9" x14ac:dyDescent="0.25">
      <c r="B358" s="14" t="s">
        <v>58</v>
      </c>
      <c r="C358" s="38">
        <v>41202</v>
      </c>
      <c r="D358" s="39">
        <v>0.73749999999999993</v>
      </c>
      <c r="E358" s="8">
        <v>0.33</v>
      </c>
      <c r="F358" s="32" t="str">
        <f t="shared" si="20"/>
        <v>No</v>
      </c>
      <c r="G358" s="32" t="str">
        <f t="shared" si="21"/>
        <v>Yes</v>
      </c>
      <c r="H358" s="40" t="str">
        <f t="shared" si="22"/>
        <v>No</v>
      </c>
      <c r="I358" s="41">
        <f t="shared" si="23"/>
        <v>1</v>
      </c>
    </row>
    <row r="359" spans="2:9" x14ac:dyDescent="0.25">
      <c r="B359" s="14" t="s">
        <v>58</v>
      </c>
      <c r="C359" s="38">
        <v>41202</v>
      </c>
      <c r="D359" s="39">
        <v>0.74444444444444446</v>
      </c>
      <c r="E359" s="8">
        <v>0.3</v>
      </c>
      <c r="F359" s="32" t="str">
        <f t="shared" si="20"/>
        <v>No</v>
      </c>
      <c r="G359" s="32" t="str">
        <f t="shared" si="21"/>
        <v>Yes</v>
      </c>
      <c r="H359" s="40" t="str">
        <f t="shared" si="22"/>
        <v>No</v>
      </c>
      <c r="I359" s="41">
        <f t="shared" si="23"/>
        <v>1</v>
      </c>
    </row>
    <row r="360" spans="2:9" x14ac:dyDescent="0.25">
      <c r="B360" s="14" t="s">
        <v>58</v>
      </c>
      <c r="C360" s="38">
        <v>41202</v>
      </c>
      <c r="D360" s="39">
        <v>0.74652777777777779</v>
      </c>
      <c r="E360" s="8">
        <v>0.12</v>
      </c>
      <c r="F360" s="32" t="str">
        <f t="shared" si="20"/>
        <v>No</v>
      </c>
      <c r="G360" s="32" t="str">
        <f t="shared" si="21"/>
        <v>Yes</v>
      </c>
      <c r="H360" s="40" t="str">
        <f t="shared" si="22"/>
        <v>No</v>
      </c>
      <c r="I360" s="41">
        <f t="shared" si="23"/>
        <v>1</v>
      </c>
    </row>
    <row r="361" spans="2:9" x14ac:dyDescent="0.25">
      <c r="B361" s="14" t="s">
        <v>58</v>
      </c>
      <c r="C361" s="38">
        <v>41202</v>
      </c>
      <c r="D361" s="39">
        <v>0.75763888888888886</v>
      </c>
      <c r="E361" s="8">
        <v>71.28</v>
      </c>
      <c r="F361" s="32" t="str">
        <f t="shared" si="20"/>
        <v>No</v>
      </c>
      <c r="G361" s="32" t="str">
        <f t="shared" si="21"/>
        <v>Yes</v>
      </c>
      <c r="H361" s="40" t="str">
        <f t="shared" si="22"/>
        <v>No</v>
      </c>
      <c r="I361" s="41">
        <f t="shared" si="23"/>
        <v>72</v>
      </c>
    </row>
    <row r="362" spans="2:9" x14ac:dyDescent="0.25">
      <c r="B362" s="14" t="s">
        <v>58</v>
      </c>
      <c r="C362" s="38">
        <v>41202</v>
      </c>
      <c r="D362" s="39">
        <v>0.82638888888888884</v>
      </c>
      <c r="E362" s="8">
        <v>1.21</v>
      </c>
      <c r="F362" s="32" t="str">
        <f t="shared" si="20"/>
        <v>No</v>
      </c>
      <c r="G362" s="32" t="str">
        <f t="shared" si="21"/>
        <v>No</v>
      </c>
      <c r="H362" s="40" t="str">
        <f t="shared" si="22"/>
        <v>No</v>
      </c>
      <c r="I362" s="41">
        <f t="shared" si="23"/>
        <v>2</v>
      </c>
    </row>
    <row r="363" spans="2:9" x14ac:dyDescent="0.25">
      <c r="B363" s="14" t="s">
        <v>59</v>
      </c>
      <c r="C363" s="38">
        <v>41203</v>
      </c>
      <c r="D363" s="39">
        <v>0.42083333333333334</v>
      </c>
      <c r="E363" s="8">
        <v>0.43</v>
      </c>
      <c r="F363" s="32" t="str">
        <f t="shared" si="20"/>
        <v>No</v>
      </c>
      <c r="G363" s="32" t="str">
        <f t="shared" si="21"/>
        <v>Yes</v>
      </c>
      <c r="H363" s="40" t="str">
        <f t="shared" si="22"/>
        <v>No</v>
      </c>
      <c r="I363" s="41">
        <f t="shared" si="23"/>
        <v>1</v>
      </c>
    </row>
    <row r="364" spans="2:9" x14ac:dyDescent="0.25">
      <c r="B364" s="14" t="s">
        <v>59</v>
      </c>
      <c r="C364" s="38">
        <v>41203</v>
      </c>
      <c r="D364" s="39">
        <v>0.42777777777777781</v>
      </c>
      <c r="E364" s="8">
        <v>0.02</v>
      </c>
      <c r="F364" s="32" t="str">
        <f t="shared" si="20"/>
        <v>No</v>
      </c>
      <c r="G364" s="32" t="str">
        <f t="shared" si="21"/>
        <v>Yes</v>
      </c>
      <c r="H364" s="40" t="str">
        <f t="shared" si="22"/>
        <v>No</v>
      </c>
      <c r="I364" s="41">
        <f t="shared" si="23"/>
        <v>1</v>
      </c>
    </row>
    <row r="365" spans="2:9" x14ac:dyDescent="0.25">
      <c r="B365" s="14" t="s">
        <v>59</v>
      </c>
      <c r="C365" s="38">
        <v>41203</v>
      </c>
      <c r="D365" s="39">
        <v>0.4284722222222222</v>
      </c>
      <c r="E365" s="8">
        <v>4.91</v>
      </c>
      <c r="F365" s="32" t="str">
        <f t="shared" si="20"/>
        <v>No</v>
      </c>
      <c r="G365" s="32" t="str">
        <f t="shared" si="21"/>
        <v>Yes</v>
      </c>
      <c r="H365" s="40" t="str">
        <f t="shared" si="22"/>
        <v>No</v>
      </c>
      <c r="I365" s="41">
        <f t="shared" si="23"/>
        <v>5</v>
      </c>
    </row>
    <row r="366" spans="2:9" x14ac:dyDescent="0.25">
      <c r="B366" s="14" t="s">
        <v>59</v>
      </c>
      <c r="C366" s="38">
        <v>41203</v>
      </c>
      <c r="D366" s="39">
        <v>0.46597222222222223</v>
      </c>
      <c r="E366" s="8">
        <v>1.41</v>
      </c>
      <c r="F366" s="32" t="str">
        <f t="shared" si="20"/>
        <v>No</v>
      </c>
      <c r="G366" s="32" t="str">
        <f t="shared" si="21"/>
        <v>Yes</v>
      </c>
      <c r="H366" s="40" t="str">
        <f t="shared" si="22"/>
        <v>No</v>
      </c>
      <c r="I366" s="41">
        <f t="shared" si="23"/>
        <v>2</v>
      </c>
    </row>
    <row r="367" spans="2:9" x14ac:dyDescent="0.25">
      <c r="B367" s="14" t="s">
        <v>59</v>
      </c>
      <c r="C367" s="38">
        <v>41203</v>
      </c>
      <c r="D367" s="39">
        <v>0.5083333333333333</v>
      </c>
      <c r="E367" s="8">
        <v>58.26</v>
      </c>
      <c r="F367" s="32" t="str">
        <f t="shared" si="20"/>
        <v>No</v>
      </c>
      <c r="G367" s="32" t="str">
        <f t="shared" si="21"/>
        <v>Yes</v>
      </c>
      <c r="H367" s="40" t="str">
        <f t="shared" si="22"/>
        <v>No</v>
      </c>
      <c r="I367" s="41">
        <f t="shared" si="23"/>
        <v>59</v>
      </c>
    </row>
    <row r="368" spans="2:9" x14ac:dyDescent="0.25">
      <c r="B368" s="14" t="s">
        <v>59</v>
      </c>
      <c r="C368" s="38">
        <v>41203</v>
      </c>
      <c r="D368" s="39">
        <v>0.58263888888888882</v>
      </c>
      <c r="E368" s="8">
        <v>3.55</v>
      </c>
      <c r="F368" s="32" t="str">
        <f t="shared" si="20"/>
        <v>No</v>
      </c>
      <c r="G368" s="32" t="str">
        <f t="shared" si="21"/>
        <v>Yes</v>
      </c>
      <c r="H368" s="40" t="str">
        <f t="shared" si="22"/>
        <v>No</v>
      </c>
      <c r="I368" s="41">
        <f t="shared" si="23"/>
        <v>4</v>
      </c>
    </row>
    <row r="369" spans="2:9" x14ac:dyDescent="0.25">
      <c r="B369" s="14" t="s">
        <v>59</v>
      </c>
      <c r="C369" s="38">
        <v>41203</v>
      </c>
      <c r="D369" s="39">
        <v>0.60972222222222217</v>
      </c>
      <c r="E369" s="8">
        <v>0.33</v>
      </c>
      <c r="F369" s="32" t="str">
        <f t="shared" si="20"/>
        <v>No</v>
      </c>
      <c r="G369" s="32" t="str">
        <f t="shared" si="21"/>
        <v>Yes</v>
      </c>
      <c r="H369" s="40" t="str">
        <f t="shared" si="22"/>
        <v>No</v>
      </c>
      <c r="I369" s="41">
        <f t="shared" si="23"/>
        <v>1</v>
      </c>
    </row>
    <row r="370" spans="2:9" x14ac:dyDescent="0.25">
      <c r="B370" s="14" t="s">
        <v>59</v>
      </c>
      <c r="C370" s="38">
        <v>41203</v>
      </c>
      <c r="D370" s="39">
        <v>0.61319444444444449</v>
      </c>
      <c r="E370" s="8">
        <v>5.92</v>
      </c>
      <c r="F370" s="32" t="str">
        <f t="shared" si="20"/>
        <v>No</v>
      </c>
      <c r="G370" s="32" t="str">
        <f t="shared" si="21"/>
        <v>Yes</v>
      </c>
      <c r="H370" s="40" t="str">
        <f t="shared" si="22"/>
        <v>No</v>
      </c>
      <c r="I370" s="41">
        <f t="shared" si="23"/>
        <v>6</v>
      </c>
    </row>
    <row r="371" spans="2:9" x14ac:dyDescent="0.25">
      <c r="B371" s="14" t="s">
        <v>59</v>
      </c>
      <c r="C371" s="38">
        <v>41203</v>
      </c>
      <c r="D371" s="39">
        <v>0.66249999999999998</v>
      </c>
      <c r="E371" s="8">
        <v>0.35</v>
      </c>
      <c r="F371" s="32" t="str">
        <f t="shared" si="20"/>
        <v>No</v>
      </c>
      <c r="G371" s="32" t="str">
        <f t="shared" si="21"/>
        <v>Yes</v>
      </c>
      <c r="H371" s="40" t="str">
        <f t="shared" si="22"/>
        <v>No</v>
      </c>
      <c r="I371" s="41">
        <f t="shared" si="23"/>
        <v>1</v>
      </c>
    </row>
    <row r="372" spans="2:9" x14ac:dyDescent="0.25">
      <c r="B372" s="14" t="s">
        <v>59</v>
      </c>
      <c r="C372" s="38">
        <v>41203</v>
      </c>
      <c r="D372" s="39">
        <v>0.66736111111111107</v>
      </c>
      <c r="E372" s="8">
        <v>5.75</v>
      </c>
      <c r="F372" s="32" t="str">
        <f t="shared" si="20"/>
        <v>No</v>
      </c>
      <c r="G372" s="32" t="str">
        <f t="shared" si="21"/>
        <v>Yes</v>
      </c>
      <c r="H372" s="40" t="str">
        <f t="shared" si="22"/>
        <v>No</v>
      </c>
      <c r="I372" s="41">
        <f t="shared" si="23"/>
        <v>6</v>
      </c>
    </row>
    <row r="373" spans="2:9" x14ac:dyDescent="0.25">
      <c r="B373" s="14" t="s">
        <v>59</v>
      </c>
      <c r="C373" s="38">
        <v>41203</v>
      </c>
      <c r="D373" s="39">
        <v>0.71527777777777779</v>
      </c>
      <c r="E373" s="8">
        <v>0.45</v>
      </c>
      <c r="F373" s="32" t="str">
        <f t="shared" si="20"/>
        <v>No</v>
      </c>
      <c r="G373" s="32" t="str">
        <f t="shared" si="21"/>
        <v>Yes</v>
      </c>
      <c r="H373" s="40" t="str">
        <f t="shared" si="22"/>
        <v>No</v>
      </c>
      <c r="I373" s="41">
        <f t="shared" si="23"/>
        <v>1</v>
      </c>
    </row>
    <row r="374" spans="2:9" x14ac:dyDescent="0.25">
      <c r="B374" s="14" t="s">
        <v>59</v>
      </c>
      <c r="C374" s="38">
        <v>41203</v>
      </c>
      <c r="D374" s="39">
        <v>0.74930555555555556</v>
      </c>
      <c r="E374" s="8">
        <v>0.88</v>
      </c>
      <c r="F374" s="32" t="str">
        <f t="shared" si="20"/>
        <v>No</v>
      </c>
      <c r="G374" s="32" t="str">
        <f t="shared" si="21"/>
        <v>Yes</v>
      </c>
      <c r="H374" s="40" t="str">
        <f t="shared" si="22"/>
        <v>No</v>
      </c>
      <c r="I374" s="41">
        <f t="shared" si="23"/>
        <v>1</v>
      </c>
    </row>
    <row r="375" spans="2:9" x14ac:dyDescent="0.25">
      <c r="B375" s="14" t="s">
        <v>59</v>
      </c>
      <c r="C375" s="38">
        <v>41203</v>
      </c>
      <c r="D375" s="39">
        <v>0.78611111111111109</v>
      </c>
      <c r="E375" s="8">
        <v>2.38</v>
      </c>
      <c r="F375" s="32" t="str">
        <f t="shared" si="20"/>
        <v>No</v>
      </c>
      <c r="G375" s="32" t="str">
        <f t="shared" si="21"/>
        <v>Yes</v>
      </c>
      <c r="H375" s="40" t="str">
        <f t="shared" si="22"/>
        <v>No</v>
      </c>
      <c r="I375" s="41">
        <f t="shared" si="23"/>
        <v>3</v>
      </c>
    </row>
    <row r="376" spans="2:9" x14ac:dyDescent="0.25">
      <c r="B376" s="14" t="s">
        <v>53</v>
      </c>
      <c r="C376" s="38">
        <v>41204</v>
      </c>
      <c r="D376" s="39">
        <v>0.3756944444444445</v>
      </c>
      <c r="E376" s="8">
        <v>0.42</v>
      </c>
      <c r="F376" s="32" t="str">
        <f t="shared" si="20"/>
        <v>Yes</v>
      </c>
      <c r="G376" s="32" t="str">
        <f t="shared" si="21"/>
        <v>Yes</v>
      </c>
      <c r="H376" s="40" t="str">
        <f t="shared" si="22"/>
        <v>Yes</v>
      </c>
      <c r="I376" s="41">
        <f t="shared" si="23"/>
        <v>1</v>
      </c>
    </row>
    <row r="377" spans="2:9" x14ac:dyDescent="0.25">
      <c r="B377" s="14" t="s">
        <v>53</v>
      </c>
      <c r="C377" s="38">
        <v>41204</v>
      </c>
      <c r="D377" s="39">
        <v>0.38263888888888892</v>
      </c>
      <c r="E377" s="8">
        <v>0.04</v>
      </c>
      <c r="F377" s="32" t="str">
        <f t="shared" si="20"/>
        <v>Yes</v>
      </c>
      <c r="G377" s="32" t="str">
        <f t="shared" si="21"/>
        <v>Yes</v>
      </c>
      <c r="H377" s="40" t="str">
        <f t="shared" si="22"/>
        <v>Yes</v>
      </c>
      <c r="I377" s="41">
        <f t="shared" si="23"/>
        <v>1</v>
      </c>
    </row>
    <row r="378" spans="2:9" x14ac:dyDescent="0.25">
      <c r="B378" s="14" t="s">
        <v>53</v>
      </c>
      <c r="C378" s="38">
        <v>41204</v>
      </c>
      <c r="D378" s="39">
        <v>0.38541666666666669</v>
      </c>
      <c r="E378" s="8">
        <v>0.46</v>
      </c>
      <c r="F378" s="32" t="str">
        <f t="shared" si="20"/>
        <v>Yes</v>
      </c>
      <c r="G378" s="32" t="str">
        <f t="shared" si="21"/>
        <v>Yes</v>
      </c>
      <c r="H378" s="40" t="str">
        <f t="shared" si="22"/>
        <v>Yes</v>
      </c>
      <c r="I378" s="41">
        <f t="shared" si="23"/>
        <v>1</v>
      </c>
    </row>
    <row r="379" spans="2:9" x14ac:dyDescent="0.25">
      <c r="B379" s="14" t="s">
        <v>53</v>
      </c>
      <c r="C379" s="38">
        <v>41204</v>
      </c>
      <c r="D379" s="39">
        <v>0.38958333333333334</v>
      </c>
      <c r="E379" s="8">
        <v>1.25</v>
      </c>
      <c r="F379" s="32" t="str">
        <f t="shared" si="20"/>
        <v>Yes</v>
      </c>
      <c r="G379" s="32" t="str">
        <f t="shared" si="21"/>
        <v>Yes</v>
      </c>
      <c r="H379" s="40" t="str">
        <f t="shared" si="22"/>
        <v>Yes</v>
      </c>
      <c r="I379" s="41">
        <f t="shared" si="23"/>
        <v>2</v>
      </c>
    </row>
    <row r="380" spans="2:9" x14ac:dyDescent="0.25">
      <c r="B380" s="14" t="s">
        <v>53</v>
      </c>
      <c r="C380" s="38">
        <v>41204</v>
      </c>
      <c r="D380" s="39">
        <v>0.4069444444444445</v>
      </c>
      <c r="E380" s="8">
        <v>0.47</v>
      </c>
      <c r="F380" s="32" t="str">
        <f t="shared" si="20"/>
        <v>Yes</v>
      </c>
      <c r="G380" s="32" t="str">
        <f t="shared" si="21"/>
        <v>Yes</v>
      </c>
      <c r="H380" s="40" t="str">
        <f t="shared" si="22"/>
        <v>Yes</v>
      </c>
      <c r="I380" s="41">
        <f t="shared" si="23"/>
        <v>1</v>
      </c>
    </row>
    <row r="381" spans="2:9" x14ac:dyDescent="0.25">
      <c r="B381" s="14" t="s">
        <v>53</v>
      </c>
      <c r="C381" s="38">
        <v>41204</v>
      </c>
      <c r="D381" s="39">
        <v>0.41597222222222219</v>
      </c>
      <c r="E381" s="8">
        <v>0.51</v>
      </c>
      <c r="F381" s="32" t="str">
        <f t="shared" si="20"/>
        <v>Yes</v>
      </c>
      <c r="G381" s="32" t="str">
        <f t="shared" si="21"/>
        <v>Yes</v>
      </c>
      <c r="H381" s="40" t="str">
        <f t="shared" si="22"/>
        <v>Yes</v>
      </c>
      <c r="I381" s="41">
        <f t="shared" si="23"/>
        <v>1</v>
      </c>
    </row>
    <row r="382" spans="2:9" x14ac:dyDescent="0.25">
      <c r="B382" s="14" t="s">
        <v>53</v>
      </c>
      <c r="C382" s="38">
        <v>41204</v>
      </c>
      <c r="D382" s="39">
        <v>0.4236111111111111</v>
      </c>
      <c r="E382" s="8">
        <v>0.88</v>
      </c>
      <c r="F382" s="32" t="str">
        <f t="shared" si="20"/>
        <v>Yes</v>
      </c>
      <c r="G382" s="32" t="str">
        <f t="shared" si="21"/>
        <v>Yes</v>
      </c>
      <c r="H382" s="40" t="str">
        <f t="shared" si="22"/>
        <v>Yes</v>
      </c>
      <c r="I382" s="41">
        <f t="shared" si="23"/>
        <v>1</v>
      </c>
    </row>
    <row r="383" spans="2:9" x14ac:dyDescent="0.25">
      <c r="B383" s="14" t="s">
        <v>53</v>
      </c>
      <c r="C383" s="38">
        <v>41204</v>
      </c>
      <c r="D383" s="39">
        <v>0.45416666666666666</v>
      </c>
      <c r="E383" s="8">
        <v>0.63</v>
      </c>
      <c r="F383" s="32" t="str">
        <f t="shared" si="20"/>
        <v>Yes</v>
      </c>
      <c r="G383" s="32" t="str">
        <f t="shared" si="21"/>
        <v>Yes</v>
      </c>
      <c r="H383" s="40" t="str">
        <f t="shared" si="22"/>
        <v>Yes</v>
      </c>
      <c r="I383" s="41">
        <f t="shared" si="23"/>
        <v>1</v>
      </c>
    </row>
    <row r="384" spans="2:9" x14ac:dyDescent="0.25">
      <c r="B384" s="14" t="s">
        <v>53</v>
      </c>
      <c r="C384" s="38">
        <v>41204</v>
      </c>
      <c r="D384" s="39">
        <v>0.46736111111111112</v>
      </c>
      <c r="E384" s="8">
        <v>0.72</v>
      </c>
      <c r="F384" s="32" t="str">
        <f t="shared" si="20"/>
        <v>Yes</v>
      </c>
      <c r="G384" s="32" t="str">
        <f t="shared" si="21"/>
        <v>Yes</v>
      </c>
      <c r="H384" s="40" t="str">
        <f t="shared" si="22"/>
        <v>Yes</v>
      </c>
      <c r="I384" s="41">
        <f t="shared" si="23"/>
        <v>1</v>
      </c>
    </row>
    <row r="385" spans="2:9" x14ac:dyDescent="0.25">
      <c r="B385" s="14" t="s">
        <v>53</v>
      </c>
      <c r="C385" s="38">
        <v>41204</v>
      </c>
      <c r="D385" s="39">
        <v>0.5</v>
      </c>
      <c r="E385" s="8">
        <v>2.94</v>
      </c>
      <c r="F385" s="32" t="str">
        <f t="shared" si="20"/>
        <v>Yes</v>
      </c>
      <c r="G385" s="32" t="str">
        <f t="shared" si="21"/>
        <v>Yes</v>
      </c>
      <c r="H385" s="40" t="str">
        <f t="shared" si="22"/>
        <v>Yes</v>
      </c>
      <c r="I385" s="41">
        <f t="shared" si="23"/>
        <v>3</v>
      </c>
    </row>
    <row r="386" spans="2:9" x14ac:dyDescent="0.25">
      <c r="B386" s="14" t="s">
        <v>53</v>
      </c>
      <c r="C386" s="38">
        <v>41204</v>
      </c>
      <c r="D386" s="39">
        <v>0.56805555555555554</v>
      </c>
      <c r="E386" s="8">
        <v>4.57</v>
      </c>
      <c r="F386" s="32" t="str">
        <f t="shared" si="20"/>
        <v>Yes</v>
      </c>
      <c r="G386" s="32" t="str">
        <f t="shared" si="21"/>
        <v>Yes</v>
      </c>
      <c r="H386" s="40" t="str">
        <f t="shared" si="22"/>
        <v>Yes</v>
      </c>
      <c r="I386" s="41">
        <f t="shared" si="23"/>
        <v>5</v>
      </c>
    </row>
    <row r="387" spans="2:9" x14ac:dyDescent="0.25">
      <c r="B387" s="14" t="s">
        <v>53</v>
      </c>
      <c r="C387" s="38">
        <v>41204</v>
      </c>
      <c r="D387" s="39">
        <v>0.61249999999999993</v>
      </c>
      <c r="E387" s="8">
        <v>1.32</v>
      </c>
      <c r="F387" s="32" t="str">
        <f t="shared" si="20"/>
        <v>Yes</v>
      </c>
      <c r="G387" s="32" t="str">
        <f t="shared" si="21"/>
        <v>Yes</v>
      </c>
      <c r="H387" s="40" t="str">
        <f t="shared" si="22"/>
        <v>Yes</v>
      </c>
      <c r="I387" s="41">
        <f t="shared" si="23"/>
        <v>2</v>
      </c>
    </row>
    <row r="388" spans="2:9" x14ac:dyDescent="0.25">
      <c r="B388" s="14" t="s">
        <v>53</v>
      </c>
      <c r="C388" s="38">
        <v>41204</v>
      </c>
      <c r="D388" s="39">
        <v>0.62569444444444444</v>
      </c>
      <c r="E388" s="8">
        <v>0.8</v>
      </c>
      <c r="F388" s="32" t="str">
        <f t="shared" ref="F388:F451" si="24">IF(OR(B388="Sunday",B388="Saturday"),"No","Yes")</f>
        <v>Yes</v>
      </c>
      <c r="G388" s="32" t="str">
        <f t="shared" ref="G388:G451" si="25">IF(D388&lt;0.7916,"Yes","No")</f>
        <v>Yes</v>
      </c>
      <c r="H388" s="40" t="str">
        <f t="shared" ref="H388:H451" si="26">IF(AND(F388="Yes",G388="Yes"),"Yes","No")</f>
        <v>Yes</v>
      </c>
      <c r="I388" s="41">
        <f t="shared" ref="I388:I451" si="27">ROUNDUP(E388,0)</f>
        <v>1</v>
      </c>
    </row>
    <row r="389" spans="2:9" x14ac:dyDescent="0.25">
      <c r="B389" s="14" t="s">
        <v>53</v>
      </c>
      <c r="C389" s="38">
        <v>41204</v>
      </c>
      <c r="D389" s="39">
        <v>0.63472222222222219</v>
      </c>
      <c r="E389" s="8">
        <v>1.78</v>
      </c>
      <c r="F389" s="32" t="str">
        <f t="shared" si="24"/>
        <v>Yes</v>
      </c>
      <c r="G389" s="32" t="str">
        <f t="shared" si="25"/>
        <v>Yes</v>
      </c>
      <c r="H389" s="40" t="str">
        <f t="shared" si="26"/>
        <v>Yes</v>
      </c>
      <c r="I389" s="41">
        <f t="shared" si="27"/>
        <v>2</v>
      </c>
    </row>
    <row r="390" spans="2:9" x14ac:dyDescent="0.25">
      <c r="B390" s="14" t="s">
        <v>53</v>
      </c>
      <c r="C390" s="38">
        <v>41204</v>
      </c>
      <c r="D390" s="39">
        <v>0.64583333333333337</v>
      </c>
      <c r="E390" s="8">
        <v>4.45</v>
      </c>
      <c r="F390" s="32" t="str">
        <f t="shared" si="24"/>
        <v>Yes</v>
      </c>
      <c r="G390" s="32" t="str">
        <f t="shared" si="25"/>
        <v>Yes</v>
      </c>
      <c r="H390" s="40" t="str">
        <f t="shared" si="26"/>
        <v>Yes</v>
      </c>
      <c r="I390" s="41">
        <f t="shared" si="27"/>
        <v>5</v>
      </c>
    </row>
    <row r="391" spans="2:9" x14ac:dyDescent="0.25">
      <c r="B391" s="14" t="s">
        <v>53</v>
      </c>
      <c r="C391" s="38">
        <v>41204</v>
      </c>
      <c r="D391" s="39">
        <v>0.67986111111111114</v>
      </c>
      <c r="E391" s="8">
        <v>0.56000000000000005</v>
      </c>
      <c r="F391" s="32" t="str">
        <f t="shared" si="24"/>
        <v>Yes</v>
      </c>
      <c r="G391" s="32" t="str">
        <f t="shared" si="25"/>
        <v>Yes</v>
      </c>
      <c r="H391" s="40" t="str">
        <f t="shared" si="26"/>
        <v>Yes</v>
      </c>
      <c r="I391" s="41">
        <f t="shared" si="27"/>
        <v>1</v>
      </c>
    </row>
    <row r="392" spans="2:9" x14ac:dyDescent="0.25">
      <c r="B392" s="14" t="s">
        <v>53</v>
      </c>
      <c r="C392" s="38">
        <v>41204</v>
      </c>
      <c r="D392" s="39">
        <v>0.73472222222222217</v>
      </c>
      <c r="E392" s="8">
        <v>2.14</v>
      </c>
      <c r="F392" s="32" t="str">
        <f t="shared" si="24"/>
        <v>Yes</v>
      </c>
      <c r="G392" s="32" t="str">
        <f t="shared" si="25"/>
        <v>Yes</v>
      </c>
      <c r="H392" s="40" t="str">
        <f t="shared" si="26"/>
        <v>Yes</v>
      </c>
      <c r="I392" s="41">
        <f t="shared" si="27"/>
        <v>3</v>
      </c>
    </row>
    <row r="393" spans="2:9" x14ac:dyDescent="0.25">
      <c r="B393" s="14" t="s">
        <v>53</v>
      </c>
      <c r="C393" s="38">
        <v>41204</v>
      </c>
      <c r="D393" s="39">
        <v>0.76736111111111116</v>
      </c>
      <c r="E393" s="8">
        <v>3.66</v>
      </c>
      <c r="F393" s="32" t="str">
        <f t="shared" si="24"/>
        <v>Yes</v>
      </c>
      <c r="G393" s="32" t="str">
        <f t="shared" si="25"/>
        <v>Yes</v>
      </c>
      <c r="H393" s="40" t="str">
        <f t="shared" si="26"/>
        <v>Yes</v>
      </c>
      <c r="I393" s="41">
        <f t="shared" si="27"/>
        <v>4</v>
      </c>
    </row>
    <row r="394" spans="2:9" x14ac:dyDescent="0.25">
      <c r="B394" s="14" t="s">
        <v>53</v>
      </c>
      <c r="C394" s="38">
        <v>41204</v>
      </c>
      <c r="D394" s="39">
        <v>0.79999999999999993</v>
      </c>
      <c r="E394" s="8">
        <v>0.15</v>
      </c>
      <c r="F394" s="32" t="str">
        <f t="shared" si="24"/>
        <v>Yes</v>
      </c>
      <c r="G394" s="32" t="str">
        <f t="shared" si="25"/>
        <v>No</v>
      </c>
      <c r="H394" s="40" t="str">
        <f t="shared" si="26"/>
        <v>No</v>
      </c>
      <c r="I394" s="41">
        <f t="shared" si="27"/>
        <v>1</v>
      </c>
    </row>
    <row r="395" spans="2:9" x14ac:dyDescent="0.25">
      <c r="B395" s="14" t="s">
        <v>53</v>
      </c>
      <c r="C395" s="38">
        <v>41204</v>
      </c>
      <c r="D395" s="39">
        <v>0.81111111111111101</v>
      </c>
      <c r="E395" s="8">
        <v>0.09</v>
      </c>
      <c r="F395" s="32" t="str">
        <f t="shared" si="24"/>
        <v>Yes</v>
      </c>
      <c r="G395" s="32" t="str">
        <f t="shared" si="25"/>
        <v>No</v>
      </c>
      <c r="H395" s="40" t="str">
        <f t="shared" si="26"/>
        <v>No</v>
      </c>
      <c r="I395" s="41">
        <f t="shared" si="27"/>
        <v>1</v>
      </c>
    </row>
    <row r="396" spans="2:9" x14ac:dyDescent="0.25">
      <c r="B396" s="14" t="s">
        <v>53</v>
      </c>
      <c r="C396" s="38">
        <v>41204</v>
      </c>
      <c r="D396" s="39">
        <v>0.81180555555555556</v>
      </c>
      <c r="E396" s="8">
        <v>0.64</v>
      </c>
      <c r="F396" s="32" t="str">
        <f t="shared" si="24"/>
        <v>Yes</v>
      </c>
      <c r="G396" s="32" t="str">
        <f t="shared" si="25"/>
        <v>No</v>
      </c>
      <c r="H396" s="40" t="str">
        <f t="shared" si="26"/>
        <v>No</v>
      </c>
      <c r="I396" s="41">
        <f t="shared" si="27"/>
        <v>1</v>
      </c>
    </row>
    <row r="397" spans="2:9" x14ac:dyDescent="0.25">
      <c r="B397" s="14" t="s">
        <v>54</v>
      </c>
      <c r="C397" s="38">
        <v>41205</v>
      </c>
      <c r="D397" s="39">
        <v>0.38263888888888892</v>
      </c>
      <c r="E397" s="8">
        <v>3.06</v>
      </c>
      <c r="F397" s="32" t="str">
        <f t="shared" si="24"/>
        <v>Yes</v>
      </c>
      <c r="G397" s="32" t="str">
        <f t="shared" si="25"/>
        <v>Yes</v>
      </c>
      <c r="H397" s="40" t="str">
        <f t="shared" si="26"/>
        <v>Yes</v>
      </c>
      <c r="I397" s="41">
        <f t="shared" si="27"/>
        <v>4</v>
      </c>
    </row>
    <row r="398" spans="2:9" x14ac:dyDescent="0.25">
      <c r="B398" s="14" t="s">
        <v>54</v>
      </c>
      <c r="C398" s="38">
        <v>41205</v>
      </c>
      <c r="D398" s="39">
        <v>0.42083333333333334</v>
      </c>
      <c r="E398" s="8">
        <v>1.2</v>
      </c>
      <c r="F398" s="32" t="str">
        <f t="shared" si="24"/>
        <v>Yes</v>
      </c>
      <c r="G398" s="32" t="str">
        <f t="shared" si="25"/>
        <v>Yes</v>
      </c>
      <c r="H398" s="40" t="str">
        <f t="shared" si="26"/>
        <v>Yes</v>
      </c>
      <c r="I398" s="41">
        <f t="shared" si="27"/>
        <v>2</v>
      </c>
    </row>
    <row r="399" spans="2:9" x14ac:dyDescent="0.25">
      <c r="B399" s="14" t="s">
        <v>54</v>
      </c>
      <c r="C399" s="38">
        <v>41205</v>
      </c>
      <c r="D399" s="39">
        <v>0.45</v>
      </c>
      <c r="E399" s="8">
        <v>0.55000000000000004</v>
      </c>
      <c r="F399" s="32" t="str">
        <f t="shared" si="24"/>
        <v>Yes</v>
      </c>
      <c r="G399" s="32" t="str">
        <f t="shared" si="25"/>
        <v>Yes</v>
      </c>
      <c r="H399" s="40" t="str">
        <f t="shared" si="26"/>
        <v>Yes</v>
      </c>
      <c r="I399" s="41">
        <f t="shared" si="27"/>
        <v>1</v>
      </c>
    </row>
    <row r="400" spans="2:9" x14ac:dyDescent="0.25">
      <c r="B400" s="14" t="s">
        <v>54</v>
      </c>
      <c r="C400" s="38">
        <v>41205</v>
      </c>
      <c r="D400" s="39">
        <v>0.45833333333333331</v>
      </c>
      <c r="E400" s="8">
        <v>0.78</v>
      </c>
      <c r="F400" s="32" t="str">
        <f t="shared" si="24"/>
        <v>Yes</v>
      </c>
      <c r="G400" s="32" t="str">
        <f t="shared" si="25"/>
        <v>Yes</v>
      </c>
      <c r="H400" s="40" t="str">
        <f t="shared" si="26"/>
        <v>Yes</v>
      </c>
      <c r="I400" s="41">
        <f t="shared" si="27"/>
        <v>1</v>
      </c>
    </row>
    <row r="401" spans="2:9" x14ac:dyDescent="0.25">
      <c r="B401" s="14" t="s">
        <v>54</v>
      </c>
      <c r="C401" s="38">
        <v>41205</v>
      </c>
      <c r="D401" s="39">
        <v>0.47013888888888888</v>
      </c>
      <c r="E401" s="8">
        <v>0.06</v>
      </c>
      <c r="F401" s="32" t="str">
        <f t="shared" si="24"/>
        <v>Yes</v>
      </c>
      <c r="G401" s="32" t="str">
        <f t="shared" si="25"/>
        <v>Yes</v>
      </c>
      <c r="H401" s="40" t="str">
        <f t="shared" si="26"/>
        <v>Yes</v>
      </c>
      <c r="I401" s="41">
        <f t="shared" si="27"/>
        <v>1</v>
      </c>
    </row>
    <row r="402" spans="2:9" x14ac:dyDescent="0.25">
      <c r="B402" s="14" t="s">
        <v>54</v>
      </c>
      <c r="C402" s="38">
        <v>41205</v>
      </c>
      <c r="D402" s="39">
        <v>0.47083333333333338</v>
      </c>
      <c r="E402" s="8">
        <v>1.38</v>
      </c>
      <c r="F402" s="32" t="str">
        <f t="shared" si="24"/>
        <v>Yes</v>
      </c>
      <c r="G402" s="32" t="str">
        <f t="shared" si="25"/>
        <v>Yes</v>
      </c>
      <c r="H402" s="40" t="str">
        <f t="shared" si="26"/>
        <v>Yes</v>
      </c>
      <c r="I402" s="41">
        <f t="shared" si="27"/>
        <v>2</v>
      </c>
    </row>
    <row r="403" spans="2:9" x14ac:dyDescent="0.25">
      <c r="B403" s="14" t="s">
        <v>54</v>
      </c>
      <c r="C403" s="38">
        <v>41205</v>
      </c>
      <c r="D403" s="39">
        <v>0.48472222222222222</v>
      </c>
      <c r="E403" s="8">
        <v>0.05</v>
      </c>
      <c r="F403" s="32" t="str">
        <f t="shared" si="24"/>
        <v>Yes</v>
      </c>
      <c r="G403" s="32" t="str">
        <f t="shared" si="25"/>
        <v>Yes</v>
      </c>
      <c r="H403" s="40" t="str">
        <f t="shared" si="26"/>
        <v>Yes</v>
      </c>
      <c r="I403" s="41">
        <f t="shared" si="27"/>
        <v>1</v>
      </c>
    </row>
    <row r="404" spans="2:9" x14ac:dyDescent="0.25">
      <c r="B404" s="14" t="s">
        <v>54</v>
      </c>
      <c r="C404" s="38">
        <v>41205</v>
      </c>
      <c r="D404" s="39">
        <v>0.48541666666666666</v>
      </c>
      <c r="E404" s="8">
        <v>0.26</v>
      </c>
      <c r="F404" s="32" t="str">
        <f t="shared" si="24"/>
        <v>Yes</v>
      </c>
      <c r="G404" s="32" t="str">
        <f t="shared" si="25"/>
        <v>Yes</v>
      </c>
      <c r="H404" s="40" t="str">
        <f t="shared" si="26"/>
        <v>Yes</v>
      </c>
      <c r="I404" s="41">
        <f t="shared" si="27"/>
        <v>1</v>
      </c>
    </row>
    <row r="405" spans="2:9" x14ac:dyDescent="0.25">
      <c r="B405" s="14" t="s">
        <v>54</v>
      </c>
      <c r="C405" s="38">
        <v>41205</v>
      </c>
      <c r="D405" s="39">
        <v>0.4916666666666667</v>
      </c>
      <c r="E405" s="8">
        <v>2.1</v>
      </c>
      <c r="F405" s="32" t="str">
        <f t="shared" si="24"/>
        <v>Yes</v>
      </c>
      <c r="G405" s="32" t="str">
        <f t="shared" si="25"/>
        <v>Yes</v>
      </c>
      <c r="H405" s="40" t="str">
        <f t="shared" si="26"/>
        <v>Yes</v>
      </c>
      <c r="I405" s="41">
        <f t="shared" si="27"/>
        <v>3</v>
      </c>
    </row>
    <row r="406" spans="2:9" x14ac:dyDescent="0.25">
      <c r="B406" s="14" t="s">
        <v>54</v>
      </c>
      <c r="C406" s="38">
        <v>41205</v>
      </c>
      <c r="D406" s="39">
        <v>0.52083333333333337</v>
      </c>
      <c r="E406" s="8">
        <v>5.92</v>
      </c>
      <c r="F406" s="32" t="str">
        <f t="shared" si="24"/>
        <v>Yes</v>
      </c>
      <c r="G406" s="32" t="str">
        <f t="shared" si="25"/>
        <v>Yes</v>
      </c>
      <c r="H406" s="40" t="str">
        <f t="shared" si="26"/>
        <v>Yes</v>
      </c>
      <c r="I406" s="41">
        <f t="shared" si="27"/>
        <v>6</v>
      </c>
    </row>
    <row r="407" spans="2:9" x14ac:dyDescent="0.25">
      <c r="B407" s="14" t="s">
        <v>54</v>
      </c>
      <c r="C407" s="38">
        <v>41205</v>
      </c>
      <c r="D407" s="39">
        <v>0.57222222222222219</v>
      </c>
      <c r="E407" s="8">
        <v>0.13</v>
      </c>
      <c r="F407" s="32" t="str">
        <f t="shared" si="24"/>
        <v>Yes</v>
      </c>
      <c r="G407" s="32" t="str">
        <f t="shared" si="25"/>
        <v>Yes</v>
      </c>
      <c r="H407" s="40" t="str">
        <f t="shared" si="26"/>
        <v>Yes</v>
      </c>
      <c r="I407" s="41">
        <f t="shared" si="27"/>
        <v>1</v>
      </c>
    </row>
    <row r="408" spans="2:9" x14ac:dyDescent="0.25">
      <c r="B408" s="14" t="s">
        <v>54</v>
      </c>
      <c r="C408" s="38">
        <v>41205</v>
      </c>
      <c r="D408" s="39">
        <v>0.58402777777777781</v>
      </c>
      <c r="E408" s="8">
        <v>2.78</v>
      </c>
      <c r="F408" s="32" t="str">
        <f t="shared" si="24"/>
        <v>Yes</v>
      </c>
      <c r="G408" s="32" t="str">
        <f t="shared" si="25"/>
        <v>Yes</v>
      </c>
      <c r="H408" s="40" t="str">
        <f t="shared" si="26"/>
        <v>Yes</v>
      </c>
      <c r="I408" s="41">
        <f t="shared" si="27"/>
        <v>3</v>
      </c>
    </row>
    <row r="409" spans="2:9" x14ac:dyDescent="0.25">
      <c r="B409" s="14" t="s">
        <v>54</v>
      </c>
      <c r="C409" s="38">
        <v>41205</v>
      </c>
      <c r="D409" s="39">
        <v>0.65486111111111112</v>
      </c>
      <c r="E409" s="8">
        <v>1.2</v>
      </c>
      <c r="F409" s="32" t="str">
        <f t="shared" si="24"/>
        <v>Yes</v>
      </c>
      <c r="G409" s="32" t="str">
        <f t="shared" si="25"/>
        <v>Yes</v>
      </c>
      <c r="H409" s="40" t="str">
        <f t="shared" si="26"/>
        <v>Yes</v>
      </c>
      <c r="I409" s="41">
        <f t="shared" si="27"/>
        <v>2</v>
      </c>
    </row>
    <row r="410" spans="2:9" x14ac:dyDescent="0.25">
      <c r="B410" s="14" t="s">
        <v>54</v>
      </c>
      <c r="C410" s="38">
        <v>41205</v>
      </c>
      <c r="D410" s="39">
        <v>0.68402777777777779</v>
      </c>
      <c r="E410" s="8">
        <v>0.28999999999999998</v>
      </c>
      <c r="F410" s="32" t="str">
        <f t="shared" si="24"/>
        <v>Yes</v>
      </c>
      <c r="G410" s="32" t="str">
        <f t="shared" si="25"/>
        <v>Yes</v>
      </c>
      <c r="H410" s="40" t="str">
        <f t="shared" si="26"/>
        <v>Yes</v>
      </c>
      <c r="I410" s="41">
        <f t="shared" si="27"/>
        <v>1</v>
      </c>
    </row>
    <row r="411" spans="2:9" x14ac:dyDescent="0.25">
      <c r="B411" s="14" t="s">
        <v>54</v>
      </c>
      <c r="C411" s="38">
        <v>41205</v>
      </c>
      <c r="D411" s="39">
        <v>0.70208333333333339</v>
      </c>
      <c r="E411" s="8">
        <v>2.4</v>
      </c>
      <c r="F411" s="32" t="str">
        <f t="shared" si="24"/>
        <v>Yes</v>
      </c>
      <c r="G411" s="32" t="str">
        <f t="shared" si="25"/>
        <v>Yes</v>
      </c>
      <c r="H411" s="40" t="str">
        <f t="shared" si="26"/>
        <v>Yes</v>
      </c>
      <c r="I411" s="41">
        <f t="shared" si="27"/>
        <v>3</v>
      </c>
    </row>
    <row r="412" spans="2:9" x14ac:dyDescent="0.25">
      <c r="B412" s="14" t="s">
        <v>54</v>
      </c>
      <c r="C412" s="38">
        <v>41205</v>
      </c>
      <c r="D412" s="39">
        <v>0.71875</v>
      </c>
      <c r="E412" s="8">
        <v>3</v>
      </c>
      <c r="F412" s="32" t="str">
        <f t="shared" si="24"/>
        <v>Yes</v>
      </c>
      <c r="G412" s="32" t="str">
        <f t="shared" si="25"/>
        <v>Yes</v>
      </c>
      <c r="H412" s="40" t="str">
        <f t="shared" si="26"/>
        <v>Yes</v>
      </c>
      <c r="I412" s="41">
        <f t="shared" si="27"/>
        <v>3</v>
      </c>
    </row>
    <row r="413" spans="2:9" x14ac:dyDescent="0.25">
      <c r="B413" s="14" t="s">
        <v>54</v>
      </c>
      <c r="C413" s="38">
        <v>41205</v>
      </c>
      <c r="D413" s="39">
        <v>0.78125</v>
      </c>
      <c r="E413" s="8">
        <v>0.18</v>
      </c>
      <c r="F413" s="32" t="str">
        <f t="shared" si="24"/>
        <v>Yes</v>
      </c>
      <c r="G413" s="32" t="str">
        <f t="shared" si="25"/>
        <v>Yes</v>
      </c>
      <c r="H413" s="40" t="str">
        <f t="shared" si="26"/>
        <v>Yes</v>
      </c>
      <c r="I413" s="41">
        <f t="shared" si="27"/>
        <v>1</v>
      </c>
    </row>
    <row r="414" spans="2:9" x14ac:dyDescent="0.25">
      <c r="B414" s="14" t="s">
        <v>54</v>
      </c>
      <c r="C414" s="38">
        <v>41205</v>
      </c>
      <c r="D414" s="39">
        <v>0.78263888888888899</v>
      </c>
      <c r="E414" s="8">
        <v>0.11</v>
      </c>
      <c r="F414" s="32" t="str">
        <f t="shared" si="24"/>
        <v>Yes</v>
      </c>
      <c r="G414" s="32" t="str">
        <f t="shared" si="25"/>
        <v>Yes</v>
      </c>
      <c r="H414" s="40" t="str">
        <f t="shared" si="26"/>
        <v>Yes</v>
      </c>
      <c r="I414" s="41">
        <f t="shared" si="27"/>
        <v>1</v>
      </c>
    </row>
    <row r="415" spans="2:9" x14ac:dyDescent="0.25">
      <c r="B415" s="14" t="s">
        <v>54</v>
      </c>
      <c r="C415" s="38">
        <v>41205</v>
      </c>
      <c r="D415" s="39">
        <v>0.78472222222222221</v>
      </c>
      <c r="E415" s="8">
        <v>0.71</v>
      </c>
      <c r="F415" s="32" t="str">
        <f t="shared" si="24"/>
        <v>Yes</v>
      </c>
      <c r="G415" s="32" t="str">
        <f t="shared" si="25"/>
        <v>Yes</v>
      </c>
      <c r="H415" s="40" t="str">
        <f t="shared" si="26"/>
        <v>Yes</v>
      </c>
      <c r="I415" s="41">
        <f t="shared" si="27"/>
        <v>1</v>
      </c>
    </row>
    <row r="416" spans="2:9" x14ac:dyDescent="0.25">
      <c r="B416" s="14" t="s">
        <v>54</v>
      </c>
      <c r="C416" s="38">
        <v>41205</v>
      </c>
      <c r="D416" s="39">
        <v>0.79583333333333339</v>
      </c>
      <c r="E416" s="8">
        <v>1.55</v>
      </c>
      <c r="F416" s="32" t="str">
        <f t="shared" si="24"/>
        <v>Yes</v>
      </c>
      <c r="G416" s="32" t="str">
        <f t="shared" si="25"/>
        <v>No</v>
      </c>
      <c r="H416" s="40" t="str">
        <f t="shared" si="26"/>
        <v>No</v>
      </c>
      <c r="I416" s="41">
        <f t="shared" si="27"/>
        <v>2</v>
      </c>
    </row>
    <row r="417" spans="2:9" x14ac:dyDescent="0.25">
      <c r="B417" s="14" t="s">
        <v>54</v>
      </c>
      <c r="C417" s="38">
        <v>41205</v>
      </c>
      <c r="D417" s="39">
        <v>0.81736111111111109</v>
      </c>
      <c r="E417" s="8">
        <v>2.11</v>
      </c>
      <c r="F417" s="32" t="str">
        <f t="shared" si="24"/>
        <v>Yes</v>
      </c>
      <c r="G417" s="32" t="str">
        <f t="shared" si="25"/>
        <v>No</v>
      </c>
      <c r="H417" s="40" t="str">
        <f t="shared" si="26"/>
        <v>No</v>
      </c>
      <c r="I417" s="41">
        <f t="shared" si="27"/>
        <v>3</v>
      </c>
    </row>
    <row r="418" spans="2:9" x14ac:dyDescent="0.25">
      <c r="B418" s="14" t="s">
        <v>55</v>
      </c>
      <c r="C418" s="38">
        <v>41206</v>
      </c>
      <c r="D418" s="39">
        <v>0.48749999999999999</v>
      </c>
      <c r="E418" s="8">
        <v>1.62</v>
      </c>
      <c r="F418" s="32" t="str">
        <f t="shared" si="24"/>
        <v>Yes</v>
      </c>
      <c r="G418" s="32" t="str">
        <f t="shared" si="25"/>
        <v>Yes</v>
      </c>
      <c r="H418" s="40" t="str">
        <f t="shared" si="26"/>
        <v>Yes</v>
      </c>
      <c r="I418" s="41">
        <f t="shared" si="27"/>
        <v>2</v>
      </c>
    </row>
    <row r="419" spans="2:9" x14ac:dyDescent="0.25">
      <c r="B419" s="14" t="s">
        <v>55</v>
      </c>
      <c r="C419" s="38">
        <v>41206</v>
      </c>
      <c r="D419" s="39">
        <v>0.51666666666666672</v>
      </c>
      <c r="E419" s="8">
        <v>0.2</v>
      </c>
      <c r="F419" s="32" t="str">
        <f t="shared" si="24"/>
        <v>Yes</v>
      </c>
      <c r="G419" s="32" t="str">
        <f t="shared" si="25"/>
        <v>Yes</v>
      </c>
      <c r="H419" s="40" t="str">
        <f t="shared" si="26"/>
        <v>Yes</v>
      </c>
      <c r="I419" s="41">
        <f t="shared" si="27"/>
        <v>1</v>
      </c>
    </row>
    <row r="420" spans="2:9" x14ac:dyDescent="0.25">
      <c r="B420" s="14" t="s">
        <v>55</v>
      </c>
      <c r="C420" s="38">
        <v>41206</v>
      </c>
      <c r="D420" s="39">
        <v>0.51874999999999993</v>
      </c>
      <c r="E420" s="8">
        <v>0.14000000000000001</v>
      </c>
      <c r="F420" s="32" t="str">
        <f t="shared" si="24"/>
        <v>Yes</v>
      </c>
      <c r="G420" s="32" t="str">
        <f t="shared" si="25"/>
        <v>Yes</v>
      </c>
      <c r="H420" s="40" t="str">
        <f t="shared" si="26"/>
        <v>Yes</v>
      </c>
      <c r="I420" s="41">
        <f t="shared" si="27"/>
        <v>1</v>
      </c>
    </row>
    <row r="421" spans="2:9" x14ac:dyDescent="0.25">
      <c r="B421" s="14" t="s">
        <v>55</v>
      </c>
      <c r="C421" s="38">
        <v>41206</v>
      </c>
      <c r="D421" s="39">
        <v>0.52083333333333337</v>
      </c>
      <c r="E421" s="8">
        <v>0.73</v>
      </c>
      <c r="F421" s="32" t="str">
        <f t="shared" si="24"/>
        <v>Yes</v>
      </c>
      <c r="G421" s="32" t="str">
        <f t="shared" si="25"/>
        <v>Yes</v>
      </c>
      <c r="H421" s="40" t="str">
        <f t="shared" si="26"/>
        <v>Yes</v>
      </c>
      <c r="I421" s="41">
        <f t="shared" si="27"/>
        <v>1</v>
      </c>
    </row>
    <row r="422" spans="2:9" x14ac:dyDescent="0.25">
      <c r="B422" s="14" t="s">
        <v>55</v>
      </c>
      <c r="C422" s="38">
        <v>41206</v>
      </c>
      <c r="D422" s="39">
        <v>0.55625000000000002</v>
      </c>
      <c r="E422" s="8">
        <v>1.78</v>
      </c>
      <c r="F422" s="32" t="str">
        <f t="shared" si="24"/>
        <v>Yes</v>
      </c>
      <c r="G422" s="32" t="str">
        <f t="shared" si="25"/>
        <v>Yes</v>
      </c>
      <c r="H422" s="40" t="str">
        <f t="shared" si="26"/>
        <v>Yes</v>
      </c>
      <c r="I422" s="41">
        <f t="shared" si="27"/>
        <v>2</v>
      </c>
    </row>
    <row r="423" spans="2:9" x14ac:dyDescent="0.25">
      <c r="B423" s="14" t="s">
        <v>55</v>
      </c>
      <c r="C423" s="38">
        <v>41206</v>
      </c>
      <c r="D423" s="39">
        <v>0.57013888888888886</v>
      </c>
      <c r="E423" s="8">
        <v>1.64</v>
      </c>
      <c r="F423" s="32" t="str">
        <f t="shared" si="24"/>
        <v>Yes</v>
      </c>
      <c r="G423" s="32" t="str">
        <f t="shared" si="25"/>
        <v>Yes</v>
      </c>
      <c r="H423" s="40" t="str">
        <f t="shared" si="26"/>
        <v>Yes</v>
      </c>
      <c r="I423" s="41">
        <f t="shared" si="27"/>
        <v>2</v>
      </c>
    </row>
    <row r="424" spans="2:9" x14ac:dyDescent="0.25">
      <c r="B424" s="14" t="s">
        <v>55</v>
      </c>
      <c r="C424" s="38">
        <v>41206</v>
      </c>
      <c r="D424" s="39">
        <v>0.59583333333333333</v>
      </c>
      <c r="E424" s="8">
        <v>2.95</v>
      </c>
      <c r="F424" s="32" t="str">
        <f t="shared" si="24"/>
        <v>Yes</v>
      </c>
      <c r="G424" s="32" t="str">
        <f t="shared" si="25"/>
        <v>Yes</v>
      </c>
      <c r="H424" s="40" t="str">
        <f t="shared" si="26"/>
        <v>Yes</v>
      </c>
      <c r="I424" s="41">
        <f t="shared" si="27"/>
        <v>3</v>
      </c>
    </row>
    <row r="425" spans="2:9" x14ac:dyDescent="0.25">
      <c r="B425" s="14" t="s">
        <v>55</v>
      </c>
      <c r="C425" s="38">
        <v>41206</v>
      </c>
      <c r="D425" s="39">
        <v>0.64097222222222217</v>
      </c>
      <c r="E425" s="8">
        <v>0.93</v>
      </c>
      <c r="F425" s="32" t="str">
        <f t="shared" si="24"/>
        <v>Yes</v>
      </c>
      <c r="G425" s="32" t="str">
        <f t="shared" si="25"/>
        <v>Yes</v>
      </c>
      <c r="H425" s="40" t="str">
        <f t="shared" si="26"/>
        <v>Yes</v>
      </c>
      <c r="I425" s="41">
        <f t="shared" si="27"/>
        <v>1</v>
      </c>
    </row>
    <row r="426" spans="2:9" x14ac:dyDescent="0.25">
      <c r="B426" s="14" t="s">
        <v>55</v>
      </c>
      <c r="C426" s="38">
        <v>41206</v>
      </c>
      <c r="D426" s="39">
        <v>0.67986111111111114</v>
      </c>
      <c r="E426" s="8">
        <v>2.04</v>
      </c>
      <c r="F426" s="32" t="str">
        <f t="shared" si="24"/>
        <v>Yes</v>
      </c>
      <c r="G426" s="32" t="str">
        <f t="shared" si="25"/>
        <v>Yes</v>
      </c>
      <c r="H426" s="40" t="str">
        <f t="shared" si="26"/>
        <v>Yes</v>
      </c>
      <c r="I426" s="41">
        <f t="shared" si="27"/>
        <v>3</v>
      </c>
    </row>
    <row r="427" spans="2:9" x14ac:dyDescent="0.25">
      <c r="B427" s="14" t="s">
        <v>55</v>
      </c>
      <c r="C427" s="38">
        <v>41206</v>
      </c>
      <c r="D427" s="39">
        <v>0.6958333333333333</v>
      </c>
      <c r="E427" s="8">
        <v>2.29</v>
      </c>
      <c r="F427" s="32" t="str">
        <f t="shared" si="24"/>
        <v>Yes</v>
      </c>
      <c r="G427" s="32" t="str">
        <f t="shared" si="25"/>
        <v>Yes</v>
      </c>
      <c r="H427" s="40" t="str">
        <f t="shared" si="26"/>
        <v>Yes</v>
      </c>
      <c r="I427" s="41">
        <f t="shared" si="27"/>
        <v>3</v>
      </c>
    </row>
    <row r="428" spans="2:9" x14ac:dyDescent="0.25">
      <c r="B428" s="14" t="s">
        <v>55</v>
      </c>
      <c r="C428" s="38">
        <v>41206</v>
      </c>
      <c r="D428" s="39">
        <v>0.73402777777777783</v>
      </c>
      <c r="E428" s="8">
        <v>0.56000000000000005</v>
      </c>
      <c r="F428" s="32" t="str">
        <f t="shared" si="24"/>
        <v>Yes</v>
      </c>
      <c r="G428" s="32" t="str">
        <f t="shared" si="25"/>
        <v>Yes</v>
      </c>
      <c r="H428" s="40" t="str">
        <f t="shared" si="26"/>
        <v>Yes</v>
      </c>
      <c r="I428" s="41">
        <f t="shared" si="27"/>
        <v>1</v>
      </c>
    </row>
    <row r="429" spans="2:9" x14ac:dyDescent="0.25">
      <c r="B429" s="14" t="s">
        <v>55</v>
      </c>
      <c r="C429" s="38">
        <v>41206</v>
      </c>
      <c r="D429" s="39">
        <v>0.76111111111111107</v>
      </c>
      <c r="E429" s="8">
        <v>0.18</v>
      </c>
      <c r="F429" s="32" t="str">
        <f t="shared" si="24"/>
        <v>Yes</v>
      </c>
      <c r="G429" s="32" t="str">
        <f t="shared" si="25"/>
        <v>Yes</v>
      </c>
      <c r="H429" s="40" t="str">
        <f t="shared" si="26"/>
        <v>Yes</v>
      </c>
      <c r="I429" s="41">
        <f t="shared" si="27"/>
        <v>1</v>
      </c>
    </row>
    <row r="430" spans="2:9" x14ac:dyDescent="0.25">
      <c r="B430" s="14" t="s">
        <v>55</v>
      </c>
      <c r="C430" s="38">
        <v>41206</v>
      </c>
      <c r="D430" s="39">
        <v>0.76388888888888884</v>
      </c>
      <c r="E430" s="8">
        <v>0.22</v>
      </c>
      <c r="F430" s="32" t="str">
        <f t="shared" si="24"/>
        <v>Yes</v>
      </c>
      <c r="G430" s="32" t="str">
        <f t="shared" si="25"/>
        <v>Yes</v>
      </c>
      <c r="H430" s="40" t="str">
        <f t="shared" si="26"/>
        <v>Yes</v>
      </c>
      <c r="I430" s="41">
        <f t="shared" si="27"/>
        <v>1</v>
      </c>
    </row>
    <row r="431" spans="2:9" x14ac:dyDescent="0.25">
      <c r="B431" s="14" t="s">
        <v>55</v>
      </c>
      <c r="C431" s="38">
        <v>41206</v>
      </c>
      <c r="D431" s="39">
        <v>0.76666666666666661</v>
      </c>
      <c r="E431" s="8">
        <v>1.02</v>
      </c>
      <c r="F431" s="32" t="str">
        <f t="shared" si="24"/>
        <v>Yes</v>
      </c>
      <c r="G431" s="32" t="str">
        <f t="shared" si="25"/>
        <v>Yes</v>
      </c>
      <c r="H431" s="40" t="str">
        <f t="shared" si="26"/>
        <v>Yes</v>
      </c>
      <c r="I431" s="41">
        <f t="shared" si="27"/>
        <v>2</v>
      </c>
    </row>
    <row r="432" spans="2:9" x14ac:dyDescent="0.25">
      <c r="B432" s="14" t="s">
        <v>55</v>
      </c>
      <c r="C432" s="38">
        <v>41206</v>
      </c>
      <c r="D432" s="39">
        <v>0.78611111111111109</v>
      </c>
      <c r="E432" s="8">
        <v>0.97</v>
      </c>
      <c r="F432" s="32" t="str">
        <f t="shared" si="24"/>
        <v>Yes</v>
      </c>
      <c r="G432" s="32" t="str">
        <f t="shared" si="25"/>
        <v>Yes</v>
      </c>
      <c r="H432" s="40" t="str">
        <f t="shared" si="26"/>
        <v>Yes</v>
      </c>
      <c r="I432" s="41">
        <f t="shared" si="27"/>
        <v>1</v>
      </c>
    </row>
    <row r="433" spans="2:9" x14ac:dyDescent="0.25">
      <c r="B433" s="14" t="s">
        <v>55</v>
      </c>
      <c r="C433" s="38">
        <v>41206</v>
      </c>
      <c r="D433" s="39">
        <v>0.81527777777777777</v>
      </c>
      <c r="E433" s="8">
        <v>5.21</v>
      </c>
      <c r="F433" s="32" t="str">
        <f t="shared" si="24"/>
        <v>Yes</v>
      </c>
      <c r="G433" s="32" t="str">
        <f t="shared" si="25"/>
        <v>No</v>
      </c>
      <c r="H433" s="40" t="str">
        <f t="shared" si="26"/>
        <v>No</v>
      </c>
      <c r="I433" s="41">
        <f t="shared" si="27"/>
        <v>6</v>
      </c>
    </row>
    <row r="434" spans="2:9" x14ac:dyDescent="0.25">
      <c r="B434" s="14" t="s">
        <v>55</v>
      </c>
      <c r="C434" s="38">
        <v>41206</v>
      </c>
      <c r="D434" s="39">
        <v>0.8618055555555556</v>
      </c>
      <c r="E434" s="8">
        <v>0.28999999999999998</v>
      </c>
      <c r="F434" s="32" t="str">
        <f t="shared" si="24"/>
        <v>Yes</v>
      </c>
      <c r="G434" s="32" t="str">
        <f t="shared" si="25"/>
        <v>No</v>
      </c>
      <c r="H434" s="40" t="str">
        <f t="shared" si="26"/>
        <v>No</v>
      </c>
      <c r="I434" s="41">
        <f t="shared" si="27"/>
        <v>1</v>
      </c>
    </row>
    <row r="435" spans="2:9" x14ac:dyDescent="0.25">
      <c r="B435" s="14" t="s">
        <v>55</v>
      </c>
      <c r="C435" s="38">
        <v>41206</v>
      </c>
      <c r="D435" s="39">
        <v>0.88402777777777775</v>
      </c>
      <c r="E435" s="8">
        <v>0.17</v>
      </c>
      <c r="F435" s="32" t="str">
        <f t="shared" si="24"/>
        <v>Yes</v>
      </c>
      <c r="G435" s="32" t="str">
        <f t="shared" si="25"/>
        <v>No</v>
      </c>
      <c r="H435" s="40" t="str">
        <f t="shared" si="26"/>
        <v>No</v>
      </c>
      <c r="I435" s="41">
        <f t="shared" si="27"/>
        <v>1</v>
      </c>
    </row>
    <row r="436" spans="2:9" x14ac:dyDescent="0.25">
      <c r="B436" s="14" t="s">
        <v>55</v>
      </c>
      <c r="C436" s="38">
        <v>41206</v>
      </c>
      <c r="D436" s="39">
        <v>0.89236111111111116</v>
      </c>
      <c r="E436" s="8">
        <v>1.75</v>
      </c>
      <c r="F436" s="32" t="str">
        <f t="shared" si="24"/>
        <v>Yes</v>
      </c>
      <c r="G436" s="32" t="str">
        <f t="shared" si="25"/>
        <v>No</v>
      </c>
      <c r="H436" s="40" t="str">
        <f t="shared" si="26"/>
        <v>No</v>
      </c>
      <c r="I436" s="41">
        <f t="shared" si="27"/>
        <v>2</v>
      </c>
    </row>
    <row r="437" spans="2:9" x14ac:dyDescent="0.25">
      <c r="B437" s="14" t="s">
        <v>55</v>
      </c>
      <c r="C437" s="38">
        <v>41206</v>
      </c>
      <c r="D437" s="39">
        <v>0.90972222222222221</v>
      </c>
      <c r="E437" s="8">
        <v>1.5</v>
      </c>
      <c r="F437" s="32" t="str">
        <f t="shared" si="24"/>
        <v>Yes</v>
      </c>
      <c r="G437" s="32" t="str">
        <f t="shared" si="25"/>
        <v>No</v>
      </c>
      <c r="H437" s="40" t="str">
        <f t="shared" si="26"/>
        <v>No</v>
      </c>
      <c r="I437" s="41">
        <f t="shared" si="27"/>
        <v>2</v>
      </c>
    </row>
    <row r="438" spans="2:9" x14ac:dyDescent="0.25">
      <c r="B438" s="14" t="s">
        <v>55</v>
      </c>
      <c r="C438" s="38">
        <v>41206</v>
      </c>
      <c r="D438" s="39">
        <v>0.94791666666666663</v>
      </c>
      <c r="E438" s="8">
        <v>1.8</v>
      </c>
      <c r="F438" s="32" t="str">
        <f t="shared" si="24"/>
        <v>Yes</v>
      </c>
      <c r="G438" s="32" t="str">
        <f t="shared" si="25"/>
        <v>No</v>
      </c>
      <c r="H438" s="40" t="str">
        <f t="shared" si="26"/>
        <v>No</v>
      </c>
      <c r="I438" s="41">
        <f t="shared" si="27"/>
        <v>2</v>
      </c>
    </row>
    <row r="439" spans="2:9" x14ac:dyDescent="0.25">
      <c r="B439" s="14" t="s">
        <v>55</v>
      </c>
      <c r="C439" s="38">
        <v>41206</v>
      </c>
      <c r="D439" s="39">
        <v>0.99791666666666667</v>
      </c>
      <c r="E439" s="8">
        <v>0.57999999999999996</v>
      </c>
      <c r="F439" s="32" t="str">
        <f t="shared" si="24"/>
        <v>Yes</v>
      </c>
      <c r="G439" s="32" t="str">
        <f t="shared" si="25"/>
        <v>No</v>
      </c>
      <c r="H439" s="40" t="str">
        <f t="shared" si="26"/>
        <v>No</v>
      </c>
      <c r="I439" s="41">
        <f t="shared" si="27"/>
        <v>1</v>
      </c>
    </row>
    <row r="440" spans="2:9" x14ac:dyDescent="0.25">
      <c r="B440" s="14" t="s">
        <v>56</v>
      </c>
      <c r="C440" s="38">
        <v>41207</v>
      </c>
      <c r="D440" s="39">
        <v>0.42083333333333334</v>
      </c>
      <c r="E440" s="8">
        <v>1.1399999999999999</v>
      </c>
      <c r="F440" s="32" t="str">
        <f t="shared" si="24"/>
        <v>Yes</v>
      </c>
      <c r="G440" s="32" t="str">
        <f t="shared" si="25"/>
        <v>Yes</v>
      </c>
      <c r="H440" s="40" t="str">
        <f t="shared" si="26"/>
        <v>Yes</v>
      </c>
      <c r="I440" s="41">
        <f t="shared" si="27"/>
        <v>2</v>
      </c>
    </row>
    <row r="441" spans="2:9" x14ac:dyDescent="0.25">
      <c r="B441" s="14" t="s">
        <v>56</v>
      </c>
      <c r="C441" s="38">
        <v>41207</v>
      </c>
      <c r="D441" s="39">
        <v>0.47222222222222227</v>
      </c>
      <c r="E441" s="8">
        <v>0.12</v>
      </c>
      <c r="F441" s="32" t="str">
        <f t="shared" si="24"/>
        <v>Yes</v>
      </c>
      <c r="G441" s="32" t="str">
        <f t="shared" si="25"/>
        <v>Yes</v>
      </c>
      <c r="H441" s="40" t="str">
        <f t="shared" si="26"/>
        <v>Yes</v>
      </c>
      <c r="I441" s="41">
        <f t="shared" si="27"/>
        <v>1</v>
      </c>
    </row>
    <row r="442" spans="2:9" x14ac:dyDescent="0.25">
      <c r="B442" s="14" t="s">
        <v>56</v>
      </c>
      <c r="C442" s="38">
        <v>41207</v>
      </c>
      <c r="D442" s="39">
        <v>0.4777777777777778</v>
      </c>
      <c r="E442" s="8">
        <v>0.56999999999999995</v>
      </c>
      <c r="F442" s="32" t="str">
        <f t="shared" si="24"/>
        <v>Yes</v>
      </c>
      <c r="G442" s="32" t="str">
        <f t="shared" si="25"/>
        <v>Yes</v>
      </c>
      <c r="H442" s="40" t="str">
        <f t="shared" si="26"/>
        <v>Yes</v>
      </c>
      <c r="I442" s="41">
        <f t="shared" si="27"/>
        <v>1</v>
      </c>
    </row>
    <row r="443" spans="2:9" x14ac:dyDescent="0.25">
      <c r="B443" s="14" t="s">
        <v>56</v>
      </c>
      <c r="C443" s="38">
        <v>41207</v>
      </c>
      <c r="D443" s="39">
        <v>0.48958333333333331</v>
      </c>
      <c r="E443" s="8">
        <v>0.89</v>
      </c>
      <c r="F443" s="32" t="str">
        <f t="shared" si="24"/>
        <v>Yes</v>
      </c>
      <c r="G443" s="32" t="str">
        <f t="shared" si="25"/>
        <v>Yes</v>
      </c>
      <c r="H443" s="40" t="str">
        <f t="shared" si="26"/>
        <v>Yes</v>
      </c>
      <c r="I443" s="41">
        <f t="shared" si="27"/>
        <v>1</v>
      </c>
    </row>
    <row r="444" spans="2:9" x14ac:dyDescent="0.25">
      <c r="B444" s="14" t="s">
        <v>56</v>
      </c>
      <c r="C444" s="38">
        <v>41207</v>
      </c>
      <c r="D444" s="39">
        <v>0.52361111111111114</v>
      </c>
      <c r="E444" s="8">
        <v>0.9</v>
      </c>
      <c r="F444" s="32" t="str">
        <f t="shared" si="24"/>
        <v>Yes</v>
      </c>
      <c r="G444" s="32" t="str">
        <f t="shared" si="25"/>
        <v>Yes</v>
      </c>
      <c r="H444" s="40" t="str">
        <f t="shared" si="26"/>
        <v>Yes</v>
      </c>
      <c r="I444" s="41">
        <f t="shared" si="27"/>
        <v>1</v>
      </c>
    </row>
    <row r="445" spans="2:9" x14ac:dyDescent="0.25">
      <c r="B445" s="14" t="s">
        <v>56</v>
      </c>
      <c r="C445" s="38">
        <v>41207</v>
      </c>
      <c r="D445" s="39">
        <v>0.53611111111111109</v>
      </c>
      <c r="E445" s="8">
        <v>2.27</v>
      </c>
      <c r="F445" s="32" t="str">
        <f t="shared" si="24"/>
        <v>Yes</v>
      </c>
      <c r="G445" s="32" t="str">
        <f t="shared" si="25"/>
        <v>Yes</v>
      </c>
      <c r="H445" s="40" t="str">
        <f t="shared" si="26"/>
        <v>Yes</v>
      </c>
      <c r="I445" s="41">
        <f t="shared" si="27"/>
        <v>3</v>
      </c>
    </row>
    <row r="446" spans="2:9" x14ac:dyDescent="0.25">
      <c r="B446" s="14" t="s">
        <v>56</v>
      </c>
      <c r="C446" s="38">
        <v>41207</v>
      </c>
      <c r="D446" s="39">
        <v>0.55972222222222223</v>
      </c>
      <c r="E446" s="8">
        <v>0.27</v>
      </c>
      <c r="F446" s="32" t="str">
        <f t="shared" si="24"/>
        <v>Yes</v>
      </c>
      <c r="G446" s="32" t="str">
        <f t="shared" si="25"/>
        <v>Yes</v>
      </c>
      <c r="H446" s="40" t="str">
        <f t="shared" si="26"/>
        <v>Yes</v>
      </c>
      <c r="I446" s="41">
        <f t="shared" si="27"/>
        <v>1</v>
      </c>
    </row>
    <row r="447" spans="2:9" x14ac:dyDescent="0.25">
      <c r="B447" s="14" t="s">
        <v>56</v>
      </c>
      <c r="C447" s="38">
        <v>41207</v>
      </c>
      <c r="D447" s="39">
        <v>0.5625</v>
      </c>
      <c r="E447" s="8">
        <v>55.33</v>
      </c>
      <c r="F447" s="32" t="str">
        <f t="shared" si="24"/>
        <v>Yes</v>
      </c>
      <c r="G447" s="32" t="str">
        <f t="shared" si="25"/>
        <v>Yes</v>
      </c>
      <c r="H447" s="40" t="str">
        <f t="shared" si="26"/>
        <v>Yes</v>
      </c>
      <c r="I447" s="41">
        <f t="shared" si="27"/>
        <v>56</v>
      </c>
    </row>
    <row r="448" spans="2:9" x14ac:dyDescent="0.25">
      <c r="B448" s="14" t="s">
        <v>56</v>
      </c>
      <c r="C448" s="38">
        <v>41207</v>
      </c>
      <c r="D448" s="39">
        <v>0.62013888888888891</v>
      </c>
      <c r="E448" s="8">
        <v>0.87</v>
      </c>
      <c r="F448" s="32" t="str">
        <f t="shared" si="24"/>
        <v>Yes</v>
      </c>
      <c r="G448" s="32" t="str">
        <f t="shared" si="25"/>
        <v>Yes</v>
      </c>
      <c r="H448" s="40" t="str">
        <f t="shared" si="26"/>
        <v>Yes</v>
      </c>
      <c r="I448" s="41">
        <f t="shared" si="27"/>
        <v>1</v>
      </c>
    </row>
    <row r="449" spans="2:9" x14ac:dyDescent="0.25">
      <c r="B449" s="14" t="s">
        <v>56</v>
      </c>
      <c r="C449" s="38">
        <v>41207</v>
      </c>
      <c r="D449" s="39">
        <v>0.63055555555555554</v>
      </c>
      <c r="E449" s="8">
        <v>1</v>
      </c>
      <c r="F449" s="32" t="str">
        <f t="shared" si="24"/>
        <v>Yes</v>
      </c>
      <c r="G449" s="32" t="str">
        <f t="shared" si="25"/>
        <v>Yes</v>
      </c>
      <c r="H449" s="40" t="str">
        <f t="shared" si="26"/>
        <v>Yes</v>
      </c>
      <c r="I449" s="41">
        <f t="shared" si="27"/>
        <v>1</v>
      </c>
    </row>
    <row r="450" spans="2:9" x14ac:dyDescent="0.25">
      <c r="B450" s="14" t="s">
        <v>56</v>
      </c>
      <c r="C450" s="38">
        <v>41207</v>
      </c>
      <c r="D450" s="39">
        <v>0.6479166666666667</v>
      </c>
      <c r="E450" s="8">
        <v>0.05</v>
      </c>
      <c r="F450" s="32" t="str">
        <f t="shared" si="24"/>
        <v>Yes</v>
      </c>
      <c r="G450" s="32" t="str">
        <f t="shared" si="25"/>
        <v>Yes</v>
      </c>
      <c r="H450" s="40" t="str">
        <f t="shared" si="26"/>
        <v>Yes</v>
      </c>
      <c r="I450" s="41">
        <f t="shared" si="27"/>
        <v>1</v>
      </c>
    </row>
    <row r="451" spans="2:9" x14ac:dyDescent="0.25">
      <c r="B451" s="14" t="s">
        <v>56</v>
      </c>
      <c r="C451" s="38">
        <v>41207</v>
      </c>
      <c r="D451" s="39">
        <v>0.65208333333333335</v>
      </c>
      <c r="E451" s="8">
        <v>2</v>
      </c>
      <c r="F451" s="32" t="str">
        <f t="shared" si="24"/>
        <v>Yes</v>
      </c>
      <c r="G451" s="32" t="str">
        <f t="shared" si="25"/>
        <v>Yes</v>
      </c>
      <c r="H451" s="40" t="str">
        <f t="shared" si="26"/>
        <v>Yes</v>
      </c>
      <c r="I451" s="41">
        <f t="shared" si="27"/>
        <v>2</v>
      </c>
    </row>
    <row r="452" spans="2:9" x14ac:dyDescent="0.25">
      <c r="B452" s="14" t="s">
        <v>56</v>
      </c>
      <c r="C452" s="38">
        <v>41207</v>
      </c>
      <c r="D452" s="39">
        <v>0.66875000000000007</v>
      </c>
      <c r="E452" s="8">
        <v>0.89</v>
      </c>
      <c r="F452" s="32" t="str">
        <f t="shared" ref="F452:F515" si="28">IF(OR(B452="Sunday",B452="Saturday"),"No","Yes")</f>
        <v>Yes</v>
      </c>
      <c r="G452" s="32" t="str">
        <f t="shared" ref="G452:G515" si="29">IF(D452&lt;0.7916,"Yes","No")</f>
        <v>Yes</v>
      </c>
      <c r="H452" s="40" t="str">
        <f t="shared" ref="H452:H515" si="30">IF(AND(F452="Yes",G452="Yes"),"Yes","No")</f>
        <v>Yes</v>
      </c>
      <c r="I452" s="41">
        <f t="shared" ref="I452:I515" si="31">ROUNDUP(E452,0)</f>
        <v>1</v>
      </c>
    </row>
    <row r="453" spans="2:9" x14ac:dyDescent="0.25">
      <c r="B453" s="14" t="s">
        <v>56</v>
      </c>
      <c r="C453" s="38">
        <v>41207</v>
      </c>
      <c r="D453" s="39">
        <v>0.67569444444444438</v>
      </c>
      <c r="E453" s="8">
        <v>0.25</v>
      </c>
      <c r="F453" s="32" t="str">
        <f t="shared" si="28"/>
        <v>Yes</v>
      </c>
      <c r="G453" s="32" t="str">
        <f t="shared" si="29"/>
        <v>Yes</v>
      </c>
      <c r="H453" s="40" t="str">
        <f t="shared" si="30"/>
        <v>Yes</v>
      </c>
      <c r="I453" s="41">
        <f t="shared" si="31"/>
        <v>1</v>
      </c>
    </row>
    <row r="454" spans="2:9" x14ac:dyDescent="0.25">
      <c r="B454" s="14" t="s">
        <v>56</v>
      </c>
      <c r="C454" s="38">
        <v>41207</v>
      </c>
      <c r="D454" s="39">
        <v>0.68055555555555547</v>
      </c>
      <c r="E454" s="8">
        <v>0.97</v>
      </c>
      <c r="F454" s="32" t="str">
        <f t="shared" si="28"/>
        <v>Yes</v>
      </c>
      <c r="G454" s="32" t="str">
        <f t="shared" si="29"/>
        <v>Yes</v>
      </c>
      <c r="H454" s="40" t="str">
        <f t="shared" si="30"/>
        <v>Yes</v>
      </c>
      <c r="I454" s="41">
        <f t="shared" si="31"/>
        <v>1</v>
      </c>
    </row>
    <row r="455" spans="2:9" x14ac:dyDescent="0.25">
      <c r="B455" s="14" t="s">
        <v>56</v>
      </c>
      <c r="C455" s="38">
        <v>41207</v>
      </c>
      <c r="D455" s="39">
        <v>0.7006944444444444</v>
      </c>
      <c r="E455" s="8">
        <v>7.0000000000000007E-2</v>
      </c>
      <c r="F455" s="32" t="str">
        <f t="shared" si="28"/>
        <v>Yes</v>
      </c>
      <c r="G455" s="32" t="str">
        <f t="shared" si="29"/>
        <v>Yes</v>
      </c>
      <c r="H455" s="40" t="str">
        <f t="shared" si="30"/>
        <v>Yes</v>
      </c>
      <c r="I455" s="41">
        <f t="shared" si="31"/>
        <v>1</v>
      </c>
    </row>
    <row r="456" spans="2:9" x14ac:dyDescent="0.25">
      <c r="B456" s="14" t="s">
        <v>56</v>
      </c>
      <c r="C456" s="38">
        <v>41207</v>
      </c>
      <c r="D456" s="39">
        <v>0.70138888888888884</v>
      </c>
      <c r="E456" s="8">
        <v>1.36</v>
      </c>
      <c r="F456" s="32" t="str">
        <f t="shared" si="28"/>
        <v>Yes</v>
      </c>
      <c r="G456" s="32" t="str">
        <f t="shared" si="29"/>
        <v>Yes</v>
      </c>
      <c r="H456" s="40" t="str">
        <f t="shared" si="30"/>
        <v>Yes</v>
      </c>
      <c r="I456" s="41">
        <f t="shared" si="31"/>
        <v>2</v>
      </c>
    </row>
    <row r="457" spans="2:9" x14ac:dyDescent="0.25">
      <c r="B457" s="14" t="s">
        <v>56</v>
      </c>
      <c r="C457" s="38">
        <v>41207</v>
      </c>
      <c r="D457" s="39">
        <v>0.71319444444444446</v>
      </c>
      <c r="E457" s="8">
        <v>3.5</v>
      </c>
      <c r="F457" s="32" t="str">
        <f t="shared" si="28"/>
        <v>Yes</v>
      </c>
      <c r="G457" s="32" t="str">
        <f t="shared" si="29"/>
        <v>Yes</v>
      </c>
      <c r="H457" s="40" t="str">
        <f t="shared" si="30"/>
        <v>Yes</v>
      </c>
      <c r="I457" s="41">
        <f t="shared" si="31"/>
        <v>4</v>
      </c>
    </row>
    <row r="458" spans="2:9" x14ac:dyDescent="0.25">
      <c r="B458" s="14" t="s">
        <v>56</v>
      </c>
      <c r="C458" s="38">
        <v>41207</v>
      </c>
      <c r="D458" s="39">
        <v>0.74791666666666667</v>
      </c>
      <c r="E458" s="8">
        <v>1.33</v>
      </c>
      <c r="F458" s="32" t="str">
        <f t="shared" si="28"/>
        <v>Yes</v>
      </c>
      <c r="G458" s="32" t="str">
        <f t="shared" si="29"/>
        <v>Yes</v>
      </c>
      <c r="H458" s="40" t="str">
        <f t="shared" si="30"/>
        <v>Yes</v>
      </c>
      <c r="I458" s="41">
        <f t="shared" si="31"/>
        <v>2</v>
      </c>
    </row>
    <row r="459" spans="2:9" x14ac:dyDescent="0.25">
      <c r="B459" s="14" t="s">
        <v>57</v>
      </c>
      <c r="C459" s="38">
        <v>41208</v>
      </c>
      <c r="D459" s="39">
        <v>0.48055555555555557</v>
      </c>
      <c r="E459" s="8">
        <v>0.17</v>
      </c>
      <c r="F459" s="32" t="str">
        <f t="shared" si="28"/>
        <v>Yes</v>
      </c>
      <c r="G459" s="32" t="str">
        <f t="shared" si="29"/>
        <v>Yes</v>
      </c>
      <c r="H459" s="40" t="str">
        <f t="shared" si="30"/>
        <v>Yes</v>
      </c>
      <c r="I459" s="41">
        <f t="shared" si="31"/>
        <v>1</v>
      </c>
    </row>
    <row r="460" spans="2:9" x14ac:dyDescent="0.25">
      <c r="B460" s="14" t="s">
        <v>57</v>
      </c>
      <c r="C460" s="38">
        <v>41208</v>
      </c>
      <c r="D460" s="39">
        <v>0.48333333333333334</v>
      </c>
      <c r="E460" s="8">
        <v>0.62</v>
      </c>
      <c r="F460" s="32" t="str">
        <f t="shared" si="28"/>
        <v>Yes</v>
      </c>
      <c r="G460" s="32" t="str">
        <f t="shared" si="29"/>
        <v>Yes</v>
      </c>
      <c r="H460" s="40" t="str">
        <f t="shared" si="30"/>
        <v>Yes</v>
      </c>
      <c r="I460" s="41">
        <f t="shared" si="31"/>
        <v>1</v>
      </c>
    </row>
    <row r="461" spans="2:9" x14ac:dyDescent="0.25">
      <c r="B461" s="14" t="s">
        <v>57</v>
      </c>
      <c r="C461" s="38">
        <v>41208</v>
      </c>
      <c r="D461" s="39">
        <v>0.48888888888888887</v>
      </c>
      <c r="E461" s="8">
        <v>1.84</v>
      </c>
      <c r="F461" s="32" t="str">
        <f t="shared" si="28"/>
        <v>Yes</v>
      </c>
      <c r="G461" s="32" t="str">
        <f t="shared" si="29"/>
        <v>Yes</v>
      </c>
      <c r="H461" s="40" t="str">
        <f t="shared" si="30"/>
        <v>Yes</v>
      </c>
      <c r="I461" s="41">
        <f t="shared" si="31"/>
        <v>2</v>
      </c>
    </row>
    <row r="462" spans="2:9" x14ac:dyDescent="0.25">
      <c r="B462" s="14" t="s">
        <v>57</v>
      </c>
      <c r="C462" s="38">
        <v>41208</v>
      </c>
      <c r="D462" s="39">
        <v>0.52083333333333337</v>
      </c>
      <c r="E462" s="8">
        <v>54.83</v>
      </c>
      <c r="F462" s="32" t="str">
        <f t="shared" si="28"/>
        <v>Yes</v>
      </c>
      <c r="G462" s="32" t="str">
        <f t="shared" si="29"/>
        <v>Yes</v>
      </c>
      <c r="H462" s="40" t="str">
        <f t="shared" si="30"/>
        <v>Yes</v>
      </c>
      <c r="I462" s="41">
        <f t="shared" si="31"/>
        <v>55</v>
      </c>
    </row>
    <row r="463" spans="2:9" x14ac:dyDescent="0.25">
      <c r="B463" s="14" t="s">
        <v>57</v>
      </c>
      <c r="C463" s="38">
        <v>41208</v>
      </c>
      <c r="D463" s="39">
        <v>0.58194444444444449</v>
      </c>
      <c r="E463" s="8">
        <v>1.31</v>
      </c>
      <c r="F463" s="32" t="str">
        <f t="shared" si="28"/>
        <v>Yes</v>
      </c>
      <c r="G463" s="32" t="str">
        <f t="shared" si="29"/>
        <v>Yes</v>
      </c>
      <c r="H463" s="40" t="str">
        <f t="shared" si="30"/>
        <v>Yes</v>
      </c>
      <c r="I463" s="41">
        <f t="shared" si="31"/>
        <v>2</v>
      </c>
    </row>
    <row r="464" spans="2:9" x14ac:dyDescent="0.25">
      <c r="B464" s="14" t="s">
        <v>57</v>
      </c>
      <c r="C464" s="38">
        <v>41208</v>
      </c>
      <c r="D464" s="39">
        <v>0.6069444444444444</v>
      </c>
      <c r="E464" s="8">
        <v>3.85</v>
      </c>
      <c r="F464" s="32" t="str">
        <f t="shared" si="28"/>
        <v>Yes</v>
      </c>
      <c r="G464" s="32" t="str">
        <f t="shared" si="29"/>
        <v>Yes</v>
      </c>
      <c r="H464" s="40" t="str">
        <f t="shared" si="30"/>
        <v>Yes</v>
      </c>
      <c r="I464" s="41">
        <f t="shared" si="31"/>
        <v>4</v>
      </c>
    </row>
    <row r="465" spans="2:9" x14ac:dyDescent="0.25">
      <c r="B465" s="14" t="s">
        <v>57</v>
      </c>
      <c r="C465" s="38">
        <v>41208</v>
      </c>
      <c r="D465" s="39">
        <v>0.63958333333333328</v>
      </c>
      <c r="E465" s="8">
        <v>1.64</v>
      </c>
      <c r="F465" s="32" t="str">
        <f t="shared" si="28"/>
        <v>Yes</v>
      </c>
      <c r="G465" s="32" t="str">
        <f t="shared" si="29"/>
        <v>Yes</v>
      </c>
      <c r="H465" s="40" t="str">
        <f t="shared" si="30"/>
        <v>Yes</v>
      </c>
      <c r="I465" s="41">
        <f t="shared" si="31"/>
        <v>2</v>
      </c>
    </row>
    <row r="466" spans="2:9" x14ac:dyDescent="0.25">
      <c r="B466" s="14" t="s">
        <v>57</v>
      </c>
      <c r="C466" s="38">
        <v>41208</v>
      </c>
      <c r="D466" s="39">
        <v>0.66805555555555562</v>
      </c>
      <c r="E466" s="8">
        <v>0.53</v>
      </c>
      <c r="F466" s="32" t="str">
        <f t="shared" si="28"/>
        <v>Yes</v>
      </c>
      <c r="G466" s="32" t="str">
        <f t="shared" si="29"/>
        <v>Yes</v>
      </c>
      <c r="H466" s="40" t="str">
        <f t="shared" si="30"/>
        <v>Yes</v>
      </c>
      <c r="I466" s="41">
        <f t="shared" si="31"/>
        <v>1</v>
      </c>
    </row>
    <row r="467" spans="2:9" x14ac:dyDescent="0.25">
      <c r="B467" s="14" t="s">
        <v>57</v>
      </c>
      <c r="C467" s="38">
        <v>41208</v>
      </c>
      <c r="D467" s="39">
        <v>0.6791666666666667</v>
      </c>
      <c r="E467" s="8">
        <v>0.08</v>
      </c>
      <c r="F467" s="32" t="str">
        <f t="shared" si="28"/>
        <v>Yes</v>
      </c>
      <c r="G467" s="32" t="str">
        <f t="shared" si="29"/>
        <v>Yes</v>
      </c>
      <c r="H467" s="40" t="str">
        <f t="shared" si="30"/>
        <v>Yes</v>
      </c>
      <c r="I467" s="41">
        <f t="shared" si="31"/>
        <v>1</v>
      </c>
    </row>
    <row r="468" spans="2:9" x14ac:dyDescent="0.25">
      <c r="B468" s="14" t="s">
        <v>57</v>
      </c>
      <c r="C468" s="38">
        <v>41208</v>
      </c>
      <c r="D468" s="39">
        <v>0.67986111111111114</v>
      </c>
      <c r="E468" s="8">
        <v>0.13</v>
      </c>
      <c r="F468" s="32" t="str">
        <f t="shared" si="28"/>
        <v>Yes</v>
      </c>
      <c r="G468" s="32" t="str">
        <f t="shared" si="29"/>
        <v>Yes</v>
      </c>
      <c r="H468" s="40" t="str">
        <f t="shared" si="30"/>
        <v>Yes</v>
      </c>
      <c r="I468" s="41">
        <f t="shared" si="31"/>
        <v>1</v>
      </c>
    </row>
    <row r="469" spans="2:9" x14ac:dyDescent="0.25">
      <c r="B469" s="14" t="s">
        <v>57</v>
      </c>
      <c r="C469" s="38">
        <v>41208</v>
      </c>
      <c r="D469" s="39">
        <v>0.68263888888888891</v>
      </c>
      <c r="E469" s="8">
        <v>0.36</v>
      </c>
      <c r="F469" s="32" t="str">
        <f t="shared" si="28"/>
        <v>Yes</v>
      </c>
      <c r="G469" s="32" t="str">
        <f t="shared" si="29"/>
        <v>Yes</v>
      </c>
      <c r="H469" s="40" t="str">
        <f t="shared" si="30"/>
        <v>Yes</v>
      </c>
      <c r="I469" s="41">
        <f t="shared" si="31"/>
        <v>1</v>
      </c>
    </row>
    <row r="470" spans="2:9" x14ac:dyDescent="0.25">
      <c r="B470" s="14" t="s">
        <v>57</v>
      </c>
      <c r="C470" s="38">
        <v>41208</v>
      </c>
      <c r="D470" s="39">
        <v>0.68541666666666667</v>
      </c>
      <c r="E470" s="8">
        <v>5.33</v>
      </c>
      <c r="F470" s="32" t="str">
        <f t="shared" si="28"/>
        <v>Yes</v>
      </c>
      <c r="G470" s="32" t="str">
        <f t="shared" si="29"/>
        <v>Yes</v>
      </c>
      <c r="H470" s="40" t="str">
        <f t="shared" si="30"/>
        <v>Yes</v>
      </c>
      <c r="I470" s="41">
        <f t="shared" si="31"/>
        <v>6</v>
      </c>
    </row>
    <row r="471" spans="2:9" x14ac:dyDescent="0.25">
      <c r="B471" s="14" t="s">
        <v>57</v>
      </c>
      <c r="C471" s="38">
        <v>41208</v>
      </c>
      <c r="D471" s="39">
        <v>0.71875</v>
      </c>
      <c r="E471" s="8">
        <v>4.74</v>
      </c>
      <c r="F471" s="32" t="str">
        <f t="shared" si="28"/>
        <v>Yes</v>
      </c>
      <c r="G471" s="32" t="str">
        <f t="shared" si="29"/>
        <v>Yes</v>
      </c>
      <c r="H471" s="40" t="str">
        <f t="shared" si="30"/>
        <v>Yes</v>
      </c>
      <c r="I471" s="41">
        <f t="shared" si="31"/>
        <v>5</v>
      </c>
    </row>
    <row r="472" spans="2:9" x14ac:dyDescent="0.25">
      <c r="B472" s="14" t="s">
        <v>57</v>
      </c>
      <c r="C472" s="38">
        <v>41208</v>
      </c>
      <c r="D472" s="39">
        <v>0.77361111111111114</v>
      </c>
      <c r="E472" s="8">
        <v>0.67</v>
      </c>
      <c r="F472" s="32" t="str">
        <f t="shared" si="28"/>
        <v>Yes</v>
      </c>
      <c r="G472" s="32" t="str">
        <f t="shared" si="29"/>
        <v>Yes</v>
      </c>
      <c r="H472" s="40" t="str">
        <f t="shared" si="30"/>
        <v>Yes</v>
      </c>
      <c r="I472" s="41">
        <f t="shared" si="31"/>
        <v>1</v>
      </c>
    </row>
    <row r="473" spans="2:9" x14ac:dyDescent="0.25">
      <c r="B473" s="14" t="s">
        <v>57</v>
      </c>
      <c r="C473" s="38">
        <v>41208</v>
      </c>
      <c r="D473" s="39">
        <v>0.82500000000000007</v>
      </c>
      <c r="E473" s="8">
        <v>1.73</v>
      </c>
      <c r="F473" s="32" t="str">
        <f t="shared" si="28"/>
        <v>Yes</v>
      </c>
      <c r="G473" s="32" t="str">
        <f t="shared" si="29"/>
        <v>No</v>
      </c>
      <c r="H473" s="40" t="str">
        <f t="shared" si="30"/>
        <v>No</v>
      </c>
      <c r="I473" s="41">
        <f t="shared" si="31"/>
        <v>2</v>
      </c>
    </row>
    <row r="474" spans="2:9" x14ac:dyDescent="0.25">
      <c r="B474" s="14" t="s">
        <v>57</v>
      </c>
      <c r="C474" s="38">
        <v>41208</v>
      </c>
      <c r="D474" s="39">
        <v>0.86111111111111116</v>
      </c>
      <c r="E474" s="8">
        <v>0.49</v>
      </c>
      <c r="F474" s="32" t="str">
        <f t="shared" si="28"/>
        <v>Yes</v>
      </c>
      <c r="G474" s="32" t="str">
        <f t="shared" si="29"/>
        <v>No</v>
      </c>
      <c r="H474" s="40" t="str">
        <f t="shared" si="30"/>
        <v>No</v>
      </c>
      <c r="I474" s="41">
        <f t="shared" si="31"/>
        <v>1</v>
      </c>
    </row>
    <row r="475" spans="2:9" x14ac:dyDescent="0.25">
      <c r="B475" s="14" t="s">
        <v>57</v>
      </c>
      <c r="C475" s="38">
        <v>41208</v>
      </c>
      <c r="D475" s="39">
        <v>0.86597222222222225</v>
      </c>
      <c r="E475" s="8">
        <v>3.15</v>
      </c>
      <c r="F475" s="32" t="str">
        <f t="shared" si="28"/>
        <v>Yes</v>
      </c>
      <c r="G475" s="32" t="str">
        <f t="shared" si="29"/>
        <v>No</v>
      </c>
      <c r="H475" s="40" t="str">
        <f t="shared" si="30"/>
        <v>No</v>
      </c>
      <c r="I475" s="41">
        <f t="shared" si="31"/>
        <v>4</v>
      </c>
    </row>
    <row r="476" spans="2:9" x14ac:dyDescent="0.25">
      <c r="B476" s="14" t="s">
        <v>57</v>
      </c>
      <c r="C476" s="38">
        <v>41208</v>
      </c>
      <c r="D476" s="39">
        <v>0.89513888888888893</v>
      </c>
      <c r="E476" s="8">
        <v>1.0900000000000001</v>
      </c>
      <c r="F476" s="32" t="str">
        <f t="shared" si="28"/>
        <v>Yes</v>
      </c>
      <c r="G476" s="32" t="str">
        <f t="shared" si="29"/>
        <v>No</v>
      </c>
      <c r="H476" s="40" t="str">
        <f t="shared" si="30"/>
        <v>No</v>
      </c>
      <c r="I476" s="41">
        <f t="shared" si="31"/>
        <v>2</v>
      </c>
    </row>
    <row r="477" spans="2:9" x14ac:dyDescent="0.25">
      <c r="B477" s="14" t="s">
        <v>57</v>
      </c>
      <c r="C477" s="38">
        <v>41208</v>
      </c>
      <c r="D477" s="39">
        <v>0.90902777777777777</v>
      </c>
      <c r="E477" s="8">
        <v>1.64</v>
      </c>
      <c r="F477" s="32" t="str">
        <f t="shared" si="28"/>
        <v>Yes</v>
      </c>
      <c r="G477" s="32" t="str">
        <f t="shared" si="29"/>
        <v>No</v>
      </c>
      <c r="H477" s="40" t="str">
        <f t="shared" si="30"/>
        <v>No</v>
      </c>
      <c r="I477" s="41">
        <f t="shared" si="31"/>
        <v>2</v>
      </c>
    </row>
    <row r="478" spans="2:9" x14ac:dyDescent="0.25">
      <c r="B478" s="14" t="s">
        <v>58</v>
      </c>
      <c r="C478" s="38">
        <v>41209</v>
      </c>
      <c r="D478" s="39">
        <v>0.45</v>
      </c>
      <c r="E478" s="8">
        <v>1.06</v>
      </c>
      <c r="F478" s="32" t="str">
        <f t="shared" si="28"/>
        <v>No</v>
      </c>
      <c r="G478" s="32" t="str">
        <f t="shared" si="29"/>
        <v>Yes</v>
      </c>
      <c r="H478" s="40" t="str">
        <f t="shared" si="30"/>
        <v>No</v>
      </c>
      <c r="I478" s="41">
        <f t="shared" si="31"/>
        <v>2</v>
      </c>
    </row>
    <row r="479" spans="2:9" x14ac:dyDescent="0.25">
      <c r="B479" s="14" t="s">
        <v>58</v>
      </c>
      <c r="C479" s="38">
        <v>41209</v>
      </c>
      <c r="D479" s="39">
        <v>0.45902777777777781</v>
      </c>
      <c r="E479" s="8">
        <v>0.06</v>
      </c>
      <c r="F479" s="32" t="str">
        <f t="shared" si="28"/>
        <v>No</v>
      </c>
      <c r="G479" s="32" t="str">
        <f t="shared" si="29"/>
        <v>Yes</v>
      </c>
      <c r="H479" s="40" t="str">
        <f t="shared" si="30"/>
        <v>No</v>
      </c>
      <c r="I479" s="41">
        <f t="shared" si="31"/>
        <v>1</v>
      </c>
    </row>
    <row r="480" spans="2:9" x14ac:dyDescent="0.25">
      <c r="B480" s="14" t="s">
        <v>58</v>
      </c>
      <c r="C480" s="38">
        <v>41209</v>
      </c>
      <c r="D480" s="39">
        <v>0.46458333333333335</v>
      </c>
      <c r="E480" s="8">
        <v>0.8</v>
      </c>
      <c r="F480" s="32" t="str">
        <f t="shared" si="28"/>
        <v>No</v>
      </c>
      <c r="G480" s="32" t="str">
        <f t="shared" si="29"/>
        <v>Yes</v>
      </c>
      <c r="H480" s="40" t="str">
        <f t="shared" si="30"/>
        <v>No</v>
      </c>
      <c r="I480" s="41">
        <f t="shared" si="31"/>
        <v>1</v>
      </c>
    </row>
    <row r="481" spans="2:9" x14ac:dyDescent="0.25">
      <c r="B481" s="14" t="s">
        <v>58</v>
      </c>
      <c r="C481" s="38">
        <v>41209</v>
      </c>
      <c r="D481" s="39">
        <v>0.47847222222222219</v>
      </c>
      <c r="E481" s="8">
        <v>0.24</v>
      </c>
      <c r="F481" s="32" t="str">
        <f t="shared" si="28"/>
        <v>No</v>
      </c>
      <c r="G481" s="32" t="str">
        <f t="shared" si="29"/>
        <v>Yes</v>
      </c>
      <c r="H481" s="40" t="str">
        <f t="shared" si="30"/>
        <v>No</v>
      </c>
      <c r="I481" s="41">
        <f t="shared" si="31"/>
        <v>1</v>
      </c>
    </row>
    <row r="482" spans="2:9" x14ac:dyDescent="0.25">
      <c r="B482" s="14" t="s">
        <v>58</v>
      </c>
      <c r="C482" s="38">
        <v>41209</v>
      </c>
      <c r="D482" s="39">
        <v>0.48680555555555555</v>
      </c>
      <c r="E482" s="8">
        <v>1.92</v>
      </c>
      <c r="F482" s="32" t="str">
        <f t="shared" si="28"/>
        <v>No</v>
      </c>
      <c r="G482" s="32" t="str">
        <f t="shared" si="29"/>
        <v>Yes</v>
      </c>
      <c r="H482" s="40" t="str">
        <f t="shared" si="30"/>
        <v>No</v>
      </c>
      <c r="I482" s="41">
        <f t="shared" si="31"/>
        <v>2</v>
      </c>
    </row>
    <row r="483" spans="2:9" x14ac:dyDescent="0.25">
      <c r="B483" s="14" t="s">
        <v>58</v>
      </c>
      <c r="C483" s="38">
        <v>41209</v>
      </c>
      <c r="D483" s="39">
        <v>0.52013888888888882</v>
      </c>
      <c r="E483" s="8">
        <v>0.48</v>
      </c>
      <c r="F483" s="32" t="str">
        <f t="shared" si="28"/>
        <v>No</v>
      </c>
      <c r="G483" s="32" t="str">
        <f t="shared" si="29"/>
        <v>Yes</v>
      </c>
      <c r="H483" s="40" t="str">
        <f t="shared" si="30"/>
        <v>No</v>
      </c>
      <c r="I483" s="41">
        <f t="shared" si="31"/>
        <v>1</v>
      </c>
    </row>
    <row r="484" spans="2:9" x14ac:dyDescent="0.25">
      <c r="B484" s="14" t="s">
        <v>58</v>
      </c>
      <c r="C484" s="38">
        <v>41209</v>
      </c>
      <c r="D484" s="39">
        <v>0.52569444444444446</v>
      </c>
      <c r="E484" s="8">
        <v>1.07</v>
      </c>
      <c r="F484" s="32" t="str">
        <f t="shared" si="28"/>
        <v>No</v>
      </c>
      <c r="G484" s="32" t="str">
        <f t="shared" si="29"/>
        <v>Yes</v>
      </c>
      <c r="H484" s="40" t="str">
        <f t="shared" si="30"/>
        <v>No</v>
      </c>
      <c r="I484" s="41">
        <f t="shared" si="31"/>
        <v>2</v>
      </c>
    </row>
    <row r="485" spans="2:9" x14ac:dyDescent="0.25">
      <c r="B485" s="14" t="s">
        <v>58</v>
      </c>
      <c r="C485" s="38">
        <v>41209</v>
      </c>
      <c r="D485" s="39">
        <v>0.54236111111111118</v>
      </c>
      <c r="E485" s="8">
        <v>5.55</v>
      </c>
      <c r="F485" s="32" t="str">
        <f t="shared" si="28"/>
        <v>No</v>
      </c>
      <c r="G485" s="32" t="str">
        <f t="shared" si="29"/>
        <v>Yes</v>
      </c>
      <c r="H485" s="40" t="str">
        <f t="shared" si="30"/>
        <v>No</v>
      </c>
      <c r="I485" s="41">
        <f t="shared" si="31"/>
        <v>6</v>
      </c>
    </row>
    <row r="486" spans="2:9" x14ac:dyDescent="0.25">
      <c r="B486" s="14" t="s">
        <v>58</v>
      </c>
      <c r="C486" s="38">
        <v>41209</v>
      </c>
      <c r="D486" s="39">
        <v>0.61388888888888882</v>
      </c>
      <c r="E486" s="8">
        <v>2.2000000000000002</v>
      </c>
      <c r="F486" s="32" t="str">
        <f t="shared" si="28"/>
        <v>No</v>
      </c>
      <c r="G486" s="32" t="str">
        <f t="shared" si="29"/>
        <v>Yes</v>
      </c>
      <c r="H486" s="40" t="str">
        <f t="shared" si="30"/>
        <v>No</v>
      </c>
      <c r="I486" s="41">
        <f t="shared" si="31"/>
        <v>3</v>
      </c>
    </row>
    <row r="487" spans="2:9" x14ac:dyDescent="0.25">
      <c r="B487" s="14" t="s">
        <v>58</v>
      </c>
      <c r="C487" s="38">
        <v>41209</v>
      </c>
      <c r="D487" s="39">
        <v>0.62916666666666665</v>
      </c>
      <c r="E487" s="8">
        <v>3.75</v>
      </c>
      <c r="F487" s="32" t="str">
        <f t="shared" si="28"/>
        <v>No</v>
      </c>
      <c r="G487" s="32" t="str">
        <f t="shared" si="29"/>
        <v>Yes</v>
      </c>
      <c r="H487" s="40" t="str">
        <f t="shared" si="30"/>
        <v>No</v>
      </c>
      <c r="I487" s="41">
        <f t="shared" si="31"/>
        <v>4</v>
      </c>
    </row>
    <row r="488" spans="2:9" x14ac:dyDescent="0.25">
      <c r="B488" s="14" t="s">
        <v>58</v>
      </c>
      <c r="C488" s="38">
        <v>41209</v>
      </c>
      <c r="D488" s="39">
        <v>0.66041666666666665</v>
      </c>
      <c r="E488" s="8">
        <v>1.17</v>
      </c>
      <c r="F488" s="32" t="str">
        <f t="shared" si="28"/>
        <v>No</v>
      </c>
      <c r="G488" s="32" t="str">
        <f t="shared" si="29"/>
        <v>Yes</v>
      </c>
      <c r="H488" s="40" t="str">
        <f t="shared" si="30"/>
        <v>No</v>
      </c>
      <c r="I488" s="41">
        <f t="shared" si="31"/>
        <v>2</v>
      </c>
    </row>
    <row r="489" spans="2:9" x14ac:dyDescent="0.25">
      <c r="B489" s="14" t="s">
        <v>58</v>
      </c>
      <c r="C489" s="38">
        <v>41209</v>
      </c>
      <c r="D489" s="39">
        <v>0.66041666666666665</v>
      </c>
      <c r="E489" s="8">
        <v>5.4</v>
      </c>
      <c r="F489" s="32" t="str">
        <f t="shared" si="28"/>
        <v>No</v>
      </c>
      <c r="G489" s="32" t="str">
        <f t="shared" si="29"/>
        <v>Yes</v>
      </c>
      <c r="H489" s="40" t="str">
        <f t="shared" si="30"/>
        <v>No</v>
      </c>
      <c r="I489" s="41">
        <f t="shared" si="31"/>
        <v>6</v>
      </c>
    </row>
    <row r="490" spans="2:9" x14ac:dyDescent="0.25">
      <c r="B490" s="14" t="s">
        <v>58</v>
      </c>
      <c r="C490" s="38">
        <v>41209</v>
      </c>
      <c r="D490" s="39">
        <v>0.69791666666666663</v>
      </c>
      <c r="E490" s="8">
        <v>0.36</v>
      </c>
      <c r="F490" s="32" t="str">
        <f t="shared" si="28"/>
        <v>No</v>
      </c>
      <c r="G490" s="32" t="str">
        <f t="shared" si="29"/>
        <v>Yes</v>
      </c>
      <c r="H490" s="40" t="str">
        <f t="shared" si="30"/>
        <v>No</v>
      </c>
      <c r="I490" s="41">
        <f t="shared" si="31"/>
        <v>1</v>
      </c>
    </row>
    <row r="491" spans="2:9" x14ac:dyDescent="0.25">
      <c r="B491" s="14" t="s">
        <v>58</v>
      </c>
      <c r="C491" s="38">
        <v>41209</v>
      </c>
      <c r="D491" s="39">
        <v>0.7006944444444444</v>
      </c>
      <c r="E491" s="8">
        <v>1.67</v>
      </c>
      <c r="F491" s="32" t="str">
        <f t="shared" si="28"/>
        <v>No</v>
      </c>
      <c r="G491" s="32" t="str">
        <f t="shared" si="29"/>
        <v>Yes</v>
      </c>
      <c r="H491" s="40" t="str">
        <f t="shared" si="30"/>
        <v>No</v>
      </c>
      <c r="I491" s="41">
        <f t="shared" si="31"/>
        <v>2</v>
      </c>
    </row>
    <row r="492" spans="2:9" x14ac:dyDescent="0.25">
      <c r="B492" s="14" t="s">
        <v>59</v>
      </c>
      <c r="C492" s="38">
        <v>41210</v>
      </c>
      <c r="D492" s="39">
        <v>0.47638888888888892</v>
      </c>
      <c r="E492" s="8">
        <v>0.72</v>
      </c>
      <c r="F492" s="32" t="str">
        <f t="shared" si="28"/>
        <v>No</v>
      </c>
      <c r="G492" s="32" t="str">
        <f t="shared" si="29"/>
        <v>Yes</v>
      </c>
      <c r="H492" s="40" t="str">
        <f t="shared" si="30"/>
        <v>No</v>
      </c>
      <c r="I492" s="41">
        <f t="shared" si="31"/>
        <v>1</v>
      </c>
    </row>
    <row r="493" spans="2:9" x14ac:dyDescent="0.25">
      <c r="B493" s="14" t="s">
        <v>59</v>
      </c>
      <c r="C493" s="38">
        <v>41210</v>
      </c>
      <c r="D493" s="39">
        <v>0.49305555555555558</v>
      </c>
      <c r="E493" s="8">
        <v>0.15</v>
      </c>
      <c r="F493" s="32" t="str">
        <f t="shared" si="28"/>
        <v>No</v>
      </c>
      <c r="G493" s="32" t="str">
        <f t="shared" si="29"/>
        <v>Yes</v>
      </c>
      <c r="H493" s="40" t="str">
        <f t="shared" si="30"/>
        <v>No</v>
      </c>
      <c r="I493" s="41">
        <f t="shared" si="31"/>
        <v>1</v>
      </c>
    </row>
    <row r="494" spans="2:9" x14ac:dyDescent="0.25">
      <c r="B494" s="14" t="s">
        <v>59</v>
      </c>
      <c r="C494" s="38">
        <v>41210</v>
      </c>
      <c r="D494" s="39">
        <v>0.5</v>
      </c>
      <c r="E494" s="8">
        <v>0.75</v>
      </c>
      <c r="F494" s="32" t="str">
        <f t="shared" si="28"/>
        <v>No</v>
      </c>
      <c r="G494" s="32" t="str">
        <f t="shared" si="29"/>
        <v>Yes</v>
      </c>
      <c r="H494" s="40" t="str">
        <f t="shared" si="30"/>
        <v>No</v>
      </c>
      <c r="I494" s="41">
        <f t="shared" si="31"/>
        <v>1</v>
      </c>
    </row>
    <row r="495" spans="2:9" x14ac:dyDescent="0.25">
      <c r="B495" s="14" t="s">
        <v>59</v>
      </c>
      <c r="C495" s="38">
        <v>41210</v>
      </c>
      <c r="D495" s="39">
        <v>0.5</v>
      </c>
      <c r="E495" s="8">
        <v>0.26</v>
      </c>
      <c r="F495" s="32" t="str">
        <f t="shared" si="28"/>
        <v>No</v>
      </c>
      <c r="G495" s="32" t="str">
        <f t="shared" si="29"/>
        <v>Yes</v>
      </c>
      <c r="H495" s="40" t="str">
        <f t="shared" si="30"/>
        <v>No</v>
      </c>
      <c r="I495" s="41">
        <f t="shared" si="31"/>
        <v>1</v>
      </c>
    </row>
    <row r="496" spans="2:9" x14ac:dyDescent="0.25">
      <c r="B496" s="14" t="s">
        <v>59</v>
      </c>
      <c r="C496" s="38">
        <v>41210</v>
      </c>
      <c r="D496" s="39">
        <v>0.5083333333333333</v>
      </c>
      <c r="E496" s="8">
        <v>1.73</v>
      </c>
      <c r="F496" s="32" t="str">
        <f t="shared" si="28"/>
        <v>No</v>
      </c>
      <c r="G496" s="32" t="str">
        <f t="shared" si="29"/>
        <v>Yes</v>
      </c>
      <c r="H496" s="40" t="str">
        <f t="shared" si="30"/>
        <v>No</v>
      </c>
      <c r="I496" s="41">
        <f t="shared" si="31"/>
        <v>2</v>
      </c>
    </row>
    <row r="497" spans="2:9" x14ac:dyDescent="0.25">
      <c r="B497" s="14" t="s">
        <v>59</v>
      </c>
      <c r="C497" s="38">
        <v>41210</v>
      </c>
      <c r="D497" s="39">
        <v>0.52430555555555558</v>
      </c>
      <c r="E497" s="8">
        <v>0.67</v>
      </c>
      <c r="F497" s="32" t="str">
        <f t="shared" si="28"/>
        <v>No</v>
      </c>
      <c r="G497" s="32" t="str">
        <f t="shared" si="29"/>
        <v>Yes</v>
      </c>
      <c r="H497" s="40" t="str">
        <f t="shared" si="30"/>
        <v>No</v>
      </c>
      <c r="I497" s="41">
        <f t="shared" si="31"/>
        <v>1</v>
      </c>
    </row>
    <row r="498" spans="2:9" x14ac:dyDescent="0.25">
      <c r="B498" s="14" t="s">
        <v>59</v>
      </c>
      <c r="C498" s="38">
        <v>41210</v>
      </c>
      <c r="D498" s="39">
        <v>0.53541666666666665</v>
      </c>
      <c r="E498" s="8">
        <v>2.73</v>
      </c>
      <c r="F498" s="32" t="str">
        <f t="shared" si="28"/>
        <v>No</v>
      </c>
      <c r="G498" s="32" t="str">
        <f t="shared" si="29"/>
        <v>Yes</v>
      </c>
      <c r="H498" s="40" t="str">
        <f t="shared" si="30"/>
        <v>No</v>
      </c>
      <c r="I498" s="41">
        <f t="shared" si="31"/>
        <v>3</v>
      </c>
    </row>
    <row r="499" spans="2:9" x14ac:dyDescent="0.25">
      <c r="B499" s="14" t="s">
        <v>59</v>
      </c>
      <c r="C499" s="38">
        <v>41210</v>
      </c>
      <c r="D499" s="39">
        <v>0.56388888888888888</v>
      </c>
      <c r="E499" s="8">
        <v>0.11</v>
      </c>
      <c r="F499" s="32" t="str">
        <f t="shared" si="28"/>
        <v>No</v>
      </c>
      <c r="G499" s="32" t="str">
        <f t="shared" si="29"/>
        <v>Yes</v>
      </c>
      <c r="H499" s="40" t="str">
        <f t="shared" si="30"/>
        <v>No</v>
      </c>
      <c r="I499" s="41">
        <f t="shared" si="31"/>
        <v>1</v>
      </c>
    </row>
    <row r="500" spans="2:9" x14ac:dyDescent="0.25">
      <c r="B500" s="14" t="s">
        <v>59</v>
      </c>
      <c r="C500" s="38">
        <v>41210</v>
      </c>
      <c r="D500" s="39">
        <v>0.56597222222222221</v>
      </c>
      <c r="E500" s="8">
        <v>0.3</v>
      </c>
      <c r="F500" s="32" t="str">
        <f t="shared" si="28"/>
        <v>No</v>
      </c>
      <c r="G500" s="32" t="str">
        <f t="shared" si="29"/>
        <v>Yes</v>
      </c>
      <c r="H500" s="40" t="str">
        <f t="shared" si="30"/>
        <v>No</v>
      </c>
      <c r="I500" s="41">
        <f t="shared" si="31"/>
        <v>1</v>
      </c>
    </row>
    <row r="501" spans="2:9" x14ac:dyDescent="0.25">
      <c r="B501" s="14" t="s">
        <v>59</v>
      </c>
      <c r="C501" s="38">
        <v>41210</v>
      </c>
      <c r="D501" s="39">
        <v>0.57013888888888886</v>
      </c>
      <c r="E501" s="8">
        <v>43.3</v>
      </c>
      <c r="F501" s="32" t="str">
        <f t="shared" si="28"/>
        <v>No</v>
      </c>
      <c r="G501" s="32" t="str">
        <f t="shared" si="29"/>
        <v>Yes</v>
      </c>
      <c r="H501" s="40" t="str">
        <f t="shared" si="30"/>
        <v>No</v>
      </c>
      <c r="I501" s="41">
        <f t="shared" si="31"/>
        <v>44</v>
      </c>
    </row>
    <row r="502" spans="2:9" x14ac:dyDescent="0.25">
      <c r="B502" s="14" t="s">
        <v>59</v>
      </c>
      <c r="C502" s="38">
        <v>41210</v>
      </c>
      <c r="D502" s="39">
        <v>0.60972222222222217</v>
      </c>
      <c r="E502" s="8">
        <v>1.23</v>
      </c>
      <c r="F502" s="32" t="str">
        <f t="shared" si="28"/>
        <v>No</v>
      </c>
      <c r="G502" s="32" t="str">
        <f t="shared" si="29"/>
        <v>Yes</v>
      </c>
      <c r="H502" s="40" t="str">
        <f t="shared" si="30"/>
        <v>No</v>
      </c>
      <c r="I502" s="41">
        <f t="shared" si="31"/>
        <v>2</v>
      </c>
    </row>
    <row r="503" spans="2:9" x14ac:dyDescent="0.25">
      <c r="B503" s="14" t="s">
        <v>59</v>
      </c>
      <c r="C503" s="38">
        <v>41210</v>
      </c>
      <c r="D503" s="39">
        <v>0.62430555555555556</v>
      </c>
      <c r="E503" s="8">
        <v>0.09</v>
      </c>
      <c r="F503" s="32" t="str">
        <f t="shared" si="28"/>
        <v>No</v>
      </c>
      <c r="G503" s="32" t="str">
        <f t="shared" si="29"/>
        <v>Yes</v>
      </c>
      <c r="H503" s="40" t="str">
        <f t="shared" si="30"/>
        <v>No</v>
      </c>
      <c r="I503" s="41">
        <f t="shared" si="31"/>
        <v>1</v>
      </c>
    </row>
    <row r="504" spans="2:9" x14ac:dyDescent="0.25">
      <c r="B504" s="14" t="s">
        <v>59</v>
      </c>
      <c r="C504" s="38">
        <v>41210</v>
      </c>
      <c r="D504" s="39">
        <v>0.62847222222222221</v>
      </c>
      <c r="E504" s="8">
        <v>2.72</v>
      </c>
      <c r="F504" s="32" t="str">
        <f t="shared" si="28"/>
        <v>No</v>
      </c>
      <c r="G504" s="32" t="str">
        <f t="shared" si="29"/>
        <v>Yes</v>
      </c>
      <c r="H504" s="40" t="str">
        <f t="shared" si="30"/>
        <v>No</v>
      </c>
      <c r="I504" s="41">
        <f t="shared" si="31"/>
        <v>3</v>
      </c>
    </row>
    <row r="505" spans="2:9" x14ac:dyDescent="0.25">
      <c r="B505" s="14" t="s">
        <v>59</v>
      </c>
      <c r="C505" s="38">
        <v>41210</v>
      </c>
      <c r="D505" s="39">
        <v>0.65277777777777779</v>
      </c>
      <c r="E505" s="8">
        <v>0.51</v>
      </c>
      <c r="F505" s="32" t="str">
        <f t="shared" si="28"/>
        <v>No</v>
      </c>
      <c r="G505" s="32" t="str">
        <f t="shared" si="29"/>
        <v>Yes</v>
      </c>
      <c r="H505" s="40" t="str">
        <f t="shared" si="30"/>
        <v>No</v>
      </c>
      <c r="I505" s="41">
        <f t="shared" si="31"/>
        <v>1</v>
      </c>
    </row>
    <row r="506" spans="2:9" x14ac:dyDescent="0.25">
      <c r="B506" s="14" t="s">
        <v>59</v>
      </c>
      <c r="C506" s="38">
        <v>41210</v>
      </c>
      <c r="D506" s="39">
        <v>0.66111111111111109</v>
      </c>
      <c r="E506" s="8">
        <v>2.1800000000000002</v>
      </c>
      <c r="F506" s="32" t="str">
        <f t="shared" si="28"/>
        <v>No</v>
      </c>
      <c r="G506" s="32" t="str">
        <f t="shared" si="29"/>
        <v>Yes</v>
      </c>
      <c r="H506" s="40" t="str">
        <f t="shared" si="30"/>
        <v>No</v>
      </c>
      <c r="I506" s="41">
        <f t="shared" si="31"/>
        <v>3</v>
      </c>
    </row>
    <row r="507" spans="2:9" x14ac:dyDescent="0.25">
      <c r="B507" s="14" t="s">
        <v>59</v>
      </c>
      <c r="C507" s="38">
        <v>41210</v>
      </c>
      <c r="D507" s="39">
        <v>0.6777777777777777</v>
      </c>
      <c r="E507" s="8">
        <v>5.17</v>
      </c>
      <c r="F507" s="32" t="str">
        <f t="shared" si="28"/>
        <v>No</v>
      </c>
      <c r="G507" s="32" t="str">
        <f t="shared" si="29"/>
        <v>Yes</v>
      </c>
      <c r="H507" s="40" t="str">
        <f t="shared" si="30"/>
        <v>No</v>
      </c>
      <c r="I507" s="41">
        <f t="shared" si="31"/>
        <v>6</v>
      </c>
    </row>
    <row r="508" spans="2:9" x14ac:dyDescent="0.25">
      <c r="B508" s="14" t="s">
        <v>59</v>
      </c>
      <c r="C508" s="38">
        <v>41210</v>
      </c>
      <c r="D508" s="39">
        <v>0.73611111111111116</v>
      </c>
      <c r="E508" s="8">
        <v>1.86</v>
      </c>
      <c r="F508" s="32" t="str">
        <f t="shared" si="28"/>
        <v>No</v>
      </c>
      <c r="G508" s="32" t="str">
        <f t="shared" si="29"/>
        <v>Yes</v>
      </c>
      <c r="H508" s="40" t="str">
        <f t="shared" si="30"/>
        <v>No</v>
      </c>
      <c r="I508" s="41">
        <f t="shared" si="31"/>
        <v>2</v>
      </c>
    </row>
    <row r="509" spans="2:9" x14ac:dyDescent="0.25">
      <c r="B509" s="14" t="s">
        <v>59</v>
      </c>
      <c r="C509" s="38">
        <v>41210</v>
      </c>
      <c r="D509" s="39">
        <v>0.75763888888888886</v>
      </c>
      <c r="E509" s="8">
        <v>0.73</v>
      </c>
      <c r="F509" s="32" t="str">
        <f t="shared" si="28"/>
        <v>No</v>
      </c>
      <c r="G509" s="32" t="str">
        <f t="shared" si="29"/>
        <v>Yes</v>
      </c>
      <c r="H509" s="40" t="str">
        <f t="shared" si="30"/>
        <v>No</v>
      </c>
      <c r="I509" s="41">
        <f t="shared" si="31"/>
        <v>1</v>
      </c>
    </row>
    <row r="510" spans="2:9" x14ac:dyDescent="0.25">
      <c r="B510" s="14" t="s">
        <v>59</v>
      </c>
      <c r="C510" s="38">
        <v>41210</v>
      </c>
      <c r="D510" s="39">
        <v>0.76527777777777783</v>
      </c>
      <c r="E510" s="8">
        <v>0.66</v>
      </c>
      <c r="F510" s="32" t="str">
        <f t="shared" si="28"/>
        <v>No</v>
      </c>
      <c r="G510" s="32" t="str">
        <f t="shared" si="29"/>
        <v>Yes</v>
      </c>
      <c r="H510" s="40" t="str">
        <f t="shared" si="30"/>
        <v>No</v>
      </c>
      <c r="I510" s="41">
        <f t="shared" si="31"/>
        <v>1</v>
      </c>
    </row>
    <row r="511" spans="2:9" x14ac:dyDescent="0.25">
      <c r="B511" s="14" t="s">
        <v>59</v>
      </c>
      <c r="C511" s="38">
        <v>41210</v>
      </c>
      <c r="D511" s="39">
        <v>0.78819444444444453</v>
      </c>
      <c r="E511" s="8">
        <v>4.34</v>
      </c>
      <c r="F511" s="32" t="str">
        <f t="shared" si="28"/>
        <v>No</v>
      </c>
      <c r="G511" s="32" t="str">
        <f t="shared" si="29"/>
        <v>Yes</v>
      </c>
      <c r="H511" s="40" t="str">
        <f t="shared" si="30"/>
        <v>No</v>
      </c>
      <c r="I511" s="41">
        <f t="shared" si="31"/>
        <v>5</v>
      </c>
    </row>
    <row r="512" spans="2:9" x14ac:dyDescent="0.25">
      <c r="B512" s="14" t="s">
        <v>59</v>
      </c>
      <c r="C512" s="38">
        <v>41210</v>
      </c>
      <c r="D512" s="39">
        <v>0.82500000000000007</v>
      </c>
      <c r="E512" s="8">
        <v>2.33</v>
      </c>
      <c r="F512" s="32" t="str">
        <f t="shared" si="28"/>
        <v>No</v>
      </c>
      <c r="G512" s="32" t="str">
        <f t="shared" si="29"/>
        <v>No</v>
      </c>
      <c r="H512" s="40" t="str">
        <f t="shared" si="30"/>
        <v>No</v>
      </c>
      <c r="I512" s="41">
        <f t="shared" si="31"/>
        <v>3</v>
      </c>
    </row>
    <row r="513" spans="2:9" x14ac:dyDescent="0.25">
      <c r="B513" s="14" t="s">
        <v>53</v>
      </c>
      <c r="C513" s="38">
        <v>41211</v>
      </c>
      <c r="D513" s="39">
        <v>0.46388888888888885</v>
      </c>
      <c r="E513" s="8">
        <v>0.38</v>
      </c>
      <c r="F513" s="32" t="str">
        <f t="shared" si="28"/>
        <v>Yes</v>
      </c>
      <c r="G513" s="32" t="str">
        <f t="shared" si="29"/>
        <v>Yes</v>
      </c>
      <c r="H513" s="40" t="str">
        <f t="shared" si="30"/>
        <v>Yes</v>
      </c>
      <c r="I513" s="41">
        <f t="shared" si="31"/>
        <v>1</v>
      </c>
    </row>
    <row r="514" spans="2:9" x14ac:dyDescent="0.25">
      <c r="B514" s="14" t="s">
        <v>53</v>
      </c>
      <c r="C514" s="38">
        <v>41211</v>
      </c>
      <c r="D514" s="39">
        <v>0.47569444444444442</v>
      </c>
      <c r="E514" s="8">
        <v>1.28</v>
      </c>
      <c r="F514" s="32" t="str">
        <f t="shared" si="28"/>
        <v>Yes</v>
      </c>
      <c r="G514" s="32" t="str">
        <f t="shared" si="29"/>
        <v>Yes</v>
      </c>
      <c r="H514" s="40" t="str">
        <f t="shared" si="30"/>
        <v>Yes</v>
      </c>
      <c r="I514" s="41">
        <f t="shared" si="31"/>
        <v>2</v>
      </c>
    </row>
    <row r="515" spans="2:9" x14ac:dyDescent="0.25">
      <c r="B515" s="14" t="s">
        <v>53</v>
      </c>
      <c r="C515" s="38">
        <v>41211</v>
      </c>
      <c r="D515" s="39">
        <v>0.4909722222222222</v>
      </c>
      <c r="E515" s="8">
        <v>3.21</v>
      </c>
      <c r="F515" s="32" t="str">
        <f t="shared" si="28"/>
        <v>Yes</v>
      </c>
      <c r="G515" s="32" t="str">
        <f t="shared" si="29"/>
        <v>Yes</v>
      </c>
      <c r="H515" s="40" t="str">
        <f t="shared" si="30"/>
        <v>Yes</v>
      </c>
      <c r="I515" s="41">
        <f t="shared" si="31"/>
        <v>4</v>
      </c>
    </row>
    <row r="516" spans="2:9" x14ac:dyDescent="0.25">
      <c r="B516" s="14" t="s">
        <v>53</v>
      </c>
      <c r="C516" s="38">
        <v>41211</v>
      </c>
      <c r="D516" s="39">
        <v>0.52916666666666667</v>
      </c>
      <c r="E516" s="8">
        <v>0.22</v>
      </c>
      <c r="F516" s="32" t="str">
        <f t="shared" ref="F516:F554" si="32">IF(OR(B516="Sunday",B516="Saturday"),"No","Yes")</f>
        <v>Yes</v>
      </c>
      <c r="G516" s="32" t="str">
        <f t="shared" ref="G516:G554" si="33">IF(D516&lt;0.7916,"Yes","No")</f>
        <v>Yes</v>
      </c>
      <c r="H516" s="40" t="str">
        <f t="shared" ref="H516:H554" si="34">IF(AND(F516="Yes",G516="Yes"),"Yes","No")</f>
        <v>Yes</v>
      </c>
      <c r="I516" s="41">
        <f t="shared" ref="I516:I554" si="35">ROUNDUP(E516,0)</f>
        <v>1</v>
      </c>
    </row>
    <row r="517" spans="2:9" x14ac:dyDescent="0.25">
      <c r="B517" s="14" t="s">
        <v>53</v>
      </c>
      <c r="C517" s="38">
        <v>41211</v>
      </c>
      <c r="D517" s="39">
        <v>0.54722222222222217</v>
      </c>
      <c r="E517" s="8">
        <v>0.21</v>
      </c>
      <c r="F517" s="32" t="str">
        <f t="shared" si="32"/>
        <v>Yes</v>
      </c>
      <c r="G517" s="32" t="str">
        <f t="shared" si="33"/>
        <v>Yes</v>
      </c>
      <c r="H517" s="40" t="str">
        <f t="shared" si="34"/>
        <v>Yes</v>
      </c>
      <c r="I517" s="41">
        <f t="shared" si="35"/>
        <v>1</v>
      </c>
    </row>
    <row r="518" spans="2:9" x14ac:dyDescent="0.25">
      <c r="B518" s="14" t="s">
        <v>53</v>
      </c>
      <c r="C518" s="38">
        <v>41211</v>
      </c>
      <c r="D518" s="39">
        <v>0.5493055555555556</v>
      </c>
      <c r="E518" s="8">
        <v>0.31</v>
      </c>
      <c r="F518" s="32" t="str">
        <f t="shared" si="32"/>
        <v>Yes</v>
      </c>
      <c r="G518" s="32" t="str">
        <f t="shared" si="33"/>
        <v>Yes</v>
      </c>
      <c r="H518" s="40" t="str">
        <f t="shared" si="34"/>
        <v>Yes</v>
      </c>
      <c r="I518" s="41">
        <f t="shared" si="35"/>
        <v>1</v>
      </c>
    </row>
    <row r="519" spans="2:9" x14ac:dyDescent="0.25">
      <c r="B519" s="14" t="s">
        <v>53</v>
      </c>
      <c r="C519" s="38">
        <v>41211</v>
      </c>
      <c r="D519" s="39">
        <v>0.55208333333333337</v>
      </c>
      <c r="E519" s="8">
        <v>0.23</v>
      </c>
      <c r="F519" s="32" t="str">
        <f t="shared" si="32"/>
        <v>Yes</v>
      </c>
      <c r="G519" s="32" t="str">
        <f t="shared" si="33"/>
        <v>Yes</v>
      </c>
      <c r="H519" s="40" t="str">
        <f t="shared" si="34"/>
        <v>Yes</v>
      </c>
      <c r="I519" s="41">
        <f t="shared" si="35"/>
        <v>1</v>
      </c>
    </row>
    <row r="520" spans="2:9" x14ac:dyDescent="0.25">
      <c r="B520" s="14" t="s">
        <v>53</v>
      </c>
      <c r="C520" s="38">
        <v>41211</v>
      </c>
      <c r="D520" s="39">
        <v>0.56319444444444444</v>
      </c>
      <c r="E520" s="8">
        <v>0.19</v>
      </c>
      <c r="F520" s="32" t="str">
        <f t="shared" si="32"/>
        <v>Yes</v>
      </c>
      <c r="G520" s="32" t="str">
        <f t="shared" si="33"/>
        <v>Yes</v>
      </c>
      <c r="H520" s="40" t="str">
        <f t="shared" si="34"/>
        <v>Yes</v>
      </c>
      <c r="I520" s="41">
        <f t="shared" si="35"/>
        <v>1</v>
      </c>
    </row>
    <row r="521" spans="2:9" x14ac:dyDescent="0.25">
      <c r="B521" s="14" t="s">
        <v>53</v>
      </c>
      <c r="C521" s="38">
        <v>41211</v>
      </c>
      <c r="D521" s="39">
        <v>0.56527777777777777</v>
      </c>
      <c r="E521" s="8">
        <v>0.26</v>
      </c>
      <c r="F521" s="32" t="str">
        <f t="shared" si="32"/>
        <v>Yes</v>
      </c>
      <c r="G521" s="32" t="str">
        <f t="shared" si="33"/>
        <v>Yes</v>
      </c>
      <c r="H521" s="40" t="str">
        <f t="shared" si="34"/>
        <v>Yes</v>
      </c>
      <c r="I521" s="41">
        <f t="shared" si="35"/>
        <v>1</v>
      </c>
    </row>
    <row r="522" spans="2:9" x14ac:dyDescent="0.25">
      <c r="B522" s="14" t="s">
        <v>53</v>
      </c>
      <c r="C522" s="38">
        <v>41211</v>
      </c>
      <c r="D522" s="39">
        <v>0.56944444444444442</v>
      </c>
      <c r="E522" s="8">
        <v>0.84</v>
      </c>
      <c r="F522" s="32" t="str">
        <f t="shared" si="32"/>
        <v>Yes</v>
      </c>
      <c r="G522" s="32" t="str">
        <f t="shared" si="33"/>
        <v>Yes</v>
      </c>
      <c r="H522" s="40" t="str">
        <f t="shared" si="34"/>
        <v>Yes</v>
      </c>
      <c r="I522" s="41">
        <f t="shared" si="35"/>
        <v>1</v>
      </c>
    </row>
    <row r="523" spans="2:9" x14ac:dyDescent="0.25">
      <c r="B523" s="14" t="s">
        <v>53</v>
      </c>
      <c r="C523" s="38">
        <v>41211</v>
      </c>
      <c r="D523" s="39">
        <v>0.61041666666666672</v>
      </c>
      <c r="E523" s="8">
        <v>1.29</v>
      </c>
      <c r="F523" s="32" t="str">
        <f t="shared" si="32"/>
        <v>Yes</v>
      </c>
      <c r="G523" s="32" t="str">
        <f t="shared" si="33"/>
        <v>Yes</v>
      </c>
      <c r="H523" s="40" t="str">
        <f t="shared" si="34"/>
        <v>Yes</v>
      </c>
      <c r="I523" s="41">
        <f t="shared" si="35"/>
        <v>2</v>
      </c>
    </row>
    <row r="524" spans="2:9" x14ac:dyDescent="0.25">
      <c r="B524" s="14" t="s">
        <v>53</v>
      </c>
      <c r="C524" s="38">
        <v>41211</v>
      </c>
      <c r="D524" s="39">
        <v>0.63541666666666663</v>
      </c>
      <c r="E524" s="8">
        <v>1.18</v>
      </c>
      <c r="F524" s="32" t="str">
        <f t="shared" si="32"/>
        <v>Yes</v>
      </c>
      <c r="G524" s="32" t="str">
        <f t="shared" si="33"/>
        <v>Yes</v>
      </c>
      <c r="H524" s="40" t="str">
        <f t="shared" si="34"/>
        <v>Yes</v>
      </c>
      <c r="I524" s="41">
        <f t="shared" si="35"/>
        <v>2</v>
      </c>
    </row>
    <row r="525" spans="2:9" x14ac:dyDescent="0.25">
      <c r="B525" s="14" t="s">
        <v>54</v>
      </c>
      <c r="C525" s="38">
        <v>41212</v>
      </c>
      <c r="D525" s="39">
        <v>0.40833333333333338</v>
      </c>
      <c r="E525" s="8">
        <v>1.8</v>
      </c>
      <c r="F525" s="32" t="str">
        <f t="shared" si="32"/>
        <v>Yes</v>
      </c>
      <c r="G525" s="32" t="str">
        <f t="shared" si="33"/>
        <v>Yes</v>
      </c>
      <c r="H525" s="40" t="str">
        <f t="shared" si="34"/>
        <v>Yes</v>
      </c>
      <c r="I525" s="41">
        <f t="shared" si="35"/>
        <v>2</v>
      </c>
    </row>
    <row r="526" spans="2:9" x14ac:dyDescent="0.25">
      <c r="B526" s="14" t="s">
        <v>54</v>
      </c>
      <c r="C526" s="38">
        <v>41212</v>
      </c>
      <c r="D526" s="39">
        <v>0.42083333333333334</v>
      </c>
      <c r="E526" s="8">
        <v>0.67</v>
      </c>
      <c r="F526" s="32" t="str">
        <f t="shared" si="32"/>
        <v>Yes</v>
      </c>
      <c r="G526" s="32" t="str">
        <f t="shared" si="33"/>
        <v>Yes</v>
      </c>
      <c r="H526" s="40" t="str">
        <f t="shared" si="34"/>
        <v>Yes</v>
      </c>
      <c r="I526" s="41">
        <f t="shared" si="35"/>
        <v>1</v>
      </c>
    </row>
    <row r="527" spans="2:9" x14ac:dyDescent="0.25">
      <c r="B527" s="14" t="s">
        <v>54</v>
      </c>
      <c r="C527" s="38">
        <v>41212</v>
      </c>
      <c r="D527" s="39">
        <v>0.42638888888888887</v>
      </c>
      <c r="E527" s="8">
        <v>0.08</v>
      </c>
      <c r="F527" s="32" t="str">
        <f t="shared" si="32"/>
        <v>Yes</v>
      </c>
      <c r="G527" s="32" t="str">
        <f t="shared" si="33"/>
        <v>Yes</v>
      </c>
      <c r="H527" s="40" t="str">
        <f t="shared" si="34"/>
        <v>Yes</v>
      </c>
      <c r="I527" s="41">
        <f t="shared" si="35"/>
        <v>1</v>
      </c>
    </row>
    <row r="528" spans="2:9" x14ac:dyDescent="0.25">
      <c r="B528" s="14" t="s">
        <v>54</v>
      </c>
      <c r="C528" s="38">
        <v>41212</v>
      </c>
      <c r="D528" s="39">
        <v>0.42986111111111108</v>
      </c>
      <c r="E528" s="8">
        <v>0.12</v>
      </c>
      <c r="F528" s="32" t="str">
        <f t="shared" si="32"/>
        <v>Yes</v>
      </c>
      <c r="G528" s="32" t="str">
        <f t="shared" si="33"/>
        <v>Yes</v>
      </c>
      <c r="H528" s="40" t="str">
        <f t="shared" si="34"/>
        <v>Yes</v>
      </c>
      <c r="I528" s="41">
        <f t="shared" si="35"/>
        <v>1</v>
      </c>
    </row>
    <row r="529" spans="2:9" x14ac:dyDescent="0.25">
      <c r="B529" s="14" t="s">
        <v>54</v>
      </c>
      <c r="C529" s="38">
        <v>41212</v>
      </c>
      <c r="D529" s="39">
        <v>0.43541666666666662</v>
      </c>
      <c r="E529" s="8">
        <v>0.19</v>
      </c>
      <c r="F529" s="32" t="str">
        <f t="shared" si="32"/>
        <v>Yes</v>
      </c>
      <c r="G529" s="32" t="str">
        <f t="shared" si="33"/>
        <v>Yes</v>
      </c>
      <c r="H529" s="40" t="str">
        <f t="shared" si="34"/>
        <v>Yes</v>
      </c>
      <c r="I529" s="41">
        <f t="shared" si="35"/>
        <v>1</v>
      </c>
    </row>
    <row r="530" spans="2:9" x14ac:dyDescent="0.25">
      <c r="B530" s="14" t="s">
        <v>54</v>
      </c>
      <c r="C530" s="38">
        <v>41212</v>
      </c>
      <c r="D530" s="39">
        <v>0.4375</v>
      </c>
      <c r="E530" s="8">
        <v>0.05</v>
      </c>
      <c r="F530" s="32" t="str">
        <f t="shared" si="32"/>
        <v>Yes</v>
      </c>
      <c r="G530" s="32" t="str">
        <f t="shared" si="33"/>
        <v>Yes</v>
      </c>
      <c r="H530" s="40" t="str">
        <f t="shared" si="34"/>
        <v>Yes</v>
      </c>
      <c r="I530" s="41">
        <f t="shared" si="35"/>
        <v>1</v>
      </c>
    </row>
    <row r="531" spans="2:9" x14ac:dyDescent="0.25">
      <c r="B531" s="14" t="s">
        <v>54</v>
      </c>
      <c r="C531" s="38">
        <v>41212</v>
      </c>
      <c r="D531" s="39">
        <v>0.43958333333333338</v>
      </c>
      <c r="E531" s="8">
        <v>0.12</v>
      </c>
      <c r="F531" s="32" t="str">
        <f t="shared" si="32"/>
        <v>Yes</v>
      </c>
      <c r="G531" s="32" t="str">
        <f t="shared" si="33"/>
        <v>Yes</v>
      </c>
      <c r="H531" s="40" t="str">
        <f t="shared" si="34"/>
        <v>Yes</v>
      </c>
      <c r="I531" s="41">
        <f t="shared" si="35"/>
        <v>1</v>
      </c>
    </row>
    <row r="532" spans="2:9" x14ac:dyDescent="0.25">
      <c r="B532" s="14" t="s">
        <v>54</v>
      </c>
      <c r="C532" s="38">
        <v>41212</v>
      </c>
      <c r="D532" s="39">
        <v>0.44861111111111113</v>
      </c>
      <c r="E532" s="8">
        <v>0.13</v>
      </c>
      <c r="F532" s="32" t="str">
        <f t="shared" si="32"/>
        <v>Yes</v>
      </c>
      <c r="G532" s="32" t="str">
        <f t="shared" si="33"/>
        <v>Yes</v>
      </c>
      <c r="H532" s="40" t="str">
        <f t="shared" si="34"/>
        <v>Yes</v>
      </c>
      <c r="I532" s="41">
        <f t="shared" si="35"/>
        <v>1</v>
      </c>
    </row>
    <row r="533" spans="2:9" x14ac:dyDescent="0.25">
      <c r="B533" s="14" t="s">
        <v>54</v>
      </c>
      <c r="C533" s="38">
        <v>41212</v>
      </c>
      <c r="D533" s="39">
        <v>0.45069444444444445</v>
      </c>
      <c r="E533" s="8">
        <v>0.8</v>
      </c>
      <c r="F533" s="32" t="str">
        <f t="shared" si="32"/>
        <v>Yes</v>
      </c>
      <c r="G533" s="32" t="str">
        <f t="shared" si="33"/>
        <v>Yes</v>
      </c>
      <c r="H533" s="40" t="str">
        <f t="shared" si="34"/>
        <v>Yes</v>
      </c>
      <c r="I533" s="41">
        <f t="shared" si="35"/>
        <v>1</v>
      </c>
    </row>
    <row r="534" spans="2:9" x14ac:dyDescent="0.25">
      <c r="B534" s="14" t="s">
        <v>54</v>
      </c>
      <c r="C534" s="38">
        <v>41212</v>
      </c>
      <c r="D534" s="39">
        <v>0.45624999999999999</v>
      </c>
      <c r="E534" s="8">
        <v>2.67</v>
      </c>
      <c r="F534" s="32" t="str">
        <f t="shared" si="32"/>
        <v>Yes</v>
      </c>
      <c r="G534" s="32" t="str">
        <f t="shared" si="33"/>
        <v>Yes</v>
      </c>
      <c r="H534" s="40" t="str">
        <f t="shared" si="34"/>
        <v>Yes</v>
      </c>
      <c r="I534" s="41">
        <f t="shared" si="35"/>
        <v>3</v>
      </c>
    </row>
    <row r="535" spans="2:9" x14ac:dyDescent="0.25">
      <c r="B535" s="14" t="s">
        <v>54</v>
      </c>
      <c r="C535" s="38">
        <v>41212</v>
      </c>
      <c r="D535" s="39">
        <v>0.47847222222222219</v>
      </c>
      <c r="E535" s="8">
        <v>2.2799999999999998</v>
      </c>
      <c r="F535" s="32" t="str">
        <f t="shared" si="32"/>
        <v>Yes</v>
      </c>
      <c r="G535" s="32" t="str">
        <f t="shared" si="33"/>
        <v>Yes</v>
      </c>
      <c r="H535" s="40" t="str">
        <f t="shared" si="34"/>
        <v>Yes</v>
      </c>
      <c r="I535" s="41">
        <f t="shared" si="35"/>
        <v>3</v>
      </c>
    </row>
    <row r="536" spans="2:9" x14ac:dyDescent="0.25">
      <c r="B536" s="14" t="s">
        <v>54</v>
      </c>
      <c r="C536" s="38">
        <v>41212</v>
      </c>
      <c r="D536" s="39">
        <v>0.50555555555555554</v>
      </c>
      <c r="E536" s="8">
        <v>0.24</v>
      </c>
      <c r="F536" s="32" t="str">
        <f t="shared" si="32"/>
        <v>Yes</v>
      </c>
      <c r="G536" s="32" t="str">
        <f t="shared" si="33"/>
        <v>Yes</v>
      </c>
      <c r="H536" s="40" t="str">
        <f t="shared" si="34"/>
        <v>Yes</v>
      </c>
      <c r="I536" s="41">
        <f t="shared" si="35"/>
        <v>1</v>
      </c>
    </row>
    <row r="537" spans="2:9" x14ac:dyDescent="0.25">
      <c r="B537" s="14" t="s">
        <v>54</v>
      </c>
      <c r="C537" s="38">
        <v>41212</v>
      </c>
      <c r="D537" s="39">
        <v>0.51111111111111118</v>
      </c>
      <c r="E537" s="8">
        <v>0.49</v>
      </c>
      <c r="F537" s="32" t="str">
        <f t="shared" si="32"/>
        <v>Yes</v>
      </c>
      <c r="G537" s="32" t="str">
        <f t="shared" si="33"/>
        <v>Yes</v>
      </c>
      <c r="H537" s="40" t="str">
        <f t="shared" si="34"/>
        <v>Yes</v>
      </c>
      <c r="I537" s="41">
        <f t="shared" si="35"/>
        <v>1</v>
      </c>
    </row>
    <row r="538" spans="2:9" x14ac:dyDescent="0.25">
      <c r="B538" s="14" t="s">
        <v>54</v>
      </c>
      <c r="C538" s="38">
        <v>41212</v>
      </c>
      <c r="D538" s="39">
        <v>0.52361111111111114</v>
      </c>
      <c r="E538" s="8">
        <v>2.75</v>
      </c>
      <c r="F538" s="32" t="str">
        <f t="shared" si="32"/>
        <v>Yes</v>
      </c>
      <c r="G538" s="32" t="str">
        <f t="shared" si="33"/>
        <v>Yes</v>
      </c>
      <c r="H538" s="40" t="str">
        <f t="shared" si="34"/>
        <v>Yes</v>
      </c>
      <c r="I538" s="41">
        <f t="shared" si="35"/>
        <v>3</v>
      </c>
    </row>
    <row r="539" spans="2:9" x14ac:dyDescent="0.25">
      <c r="B539" s="14" t="s">
        <v>54</v>
      </c>
      <c r="C539" s="38">
        <v>41212</v>
      </c>
      <c r="D539" s="39">
        <v>0.56180555555555556</v>
      </c>
      <c r="E539" s="8">
        <v>2.33</v>
      </c>
      <c r="F539" s="32" t="str">
        <f t="shared" si="32"/>
        <v>Yes</v>
      </c>
      <c r="G539" s="32" t="str">
        <f t="shared" si="33"/>
        <v>Yes</v>
      </c>
      <c r="H539" s="40" t="str">
        <f t="shared" si="34"/>
        <v>Yes</v>
      </c>
      <c r="I539" s="41">
        <f t="shared" si="35"/>
        <v>3</v>
      </c>
    </row>
    <row r="540" spans="2:9" x14ac:dyDescent="0.25">
      <c r="B540" s="14" t="s">
        <v>54</v>
      </c>
      <c r="C540" s="38">
        <v>41212</v>
      </c>
      <c r="D540" s="39">
        <v>0.57638888888888895</v>
      </c>
      <c r="E540" s="8">
        <v>1.1499999999999999</v>
      </c>
      <c r="F540" s="32" t="str">
        <f t="shared" si="32"/>
        <v>Yes</v>
      </c>
      <c r="G540" s="32" t="str">
        <f t="shared" si="33"/>
        <v>Yes</v>
      </c>
      <c r="H540" s="40" t="str">
        <f t="shared" si="34"/>
        <v>Yes</v>
      </c>
      <c r="I540" s="41">
        <f t="shared" si="35"/>
        <v>2</v>
      </c>
    </row>
    <row r="541" spans="2:9" x14ac:dyDescent="0.25">
      <c r="B541" s="14" t="s">
        <v>54</v>
      </c>
      <c r="C541" s="38">
        <v>41212</v>
      </c>
      <c r="D541" s="39">
        <v>0.62430555555555556</v>
      </c>
      <c r="E541" s="8">
        <v>0.62</v>
      </c>
      <c r="F541" s="32" t="str">
        <f t="shared" si="32"/>
        <v>Yes</v>
      </c>
      <c r="G541" s="32" t="str">
        <f t="shared" si="33"/>
        <v>Yes</v>
      </c>
      <c r="H541" s="40" t="str">
        <f t="shared" si="34"/>
        <v>Yes</v>
      </c>
      <c r="I541" s="41">
        <f t="shared" si="35"/>
        <v>1</v>
      </c>
    </row>
    <row r="542" spans="2:9" x14ac:dyDescent="0.25">
      <c r="B542" s="14" t="s">
        <v>54</v>
      </c>
      <c r="C542" s="38">
        <v>41212</v>
      </c>
      <c r="D542" s="39">
        <v>0.63472222222222219</v>
      </c>
      <c r="E542" s="8">
        <v>0.11</v>
      </c>
      <c r="F542" s="32" t="str">
        <f t="shared" si="32"/>
        <v>Yes</v>
      </c>
      <c r="G542" s="32" t="str">
        <f t="shared" si="33"/>
        <v>Yes</v>
      </c>
      <c r="H542" s="40" t="str">
        <f t="shared" si="34"/>
        <v>Yes</v>
      </c>
      <c r="I542" s="41">
        <f t="shared" si="35"/>
        <v>1</v>
      </c>
    </row>
    <row r="543" spans="2:9" x14ac:dyDescent="0.25">
      <c r="B543" s="14" t="s">
        <v>54</v>
      </c>
      <c r="C543" s="38">
        <v>41212</v>
      </c>
      <c r="D543" s="39">
        <v>0.63888888888888895</v>
      </c>
      <c r="E543" s="8">
        <v>1.83</v>
      </c>
      <c r="F543" s="32" t="str">
        <f t="shared" si="32"/>
        <v>Yes</v>
      </c>
      <c r="G543" s="32" t="str">
        <f t="shared" si="33"/>
        <v>Yes</v>
      </c>
      <c r="H543" s="40" t="str">
        <f t="shared" si="34"/>
        <v>Yes</v>
      </c>
      <c r="I543" s="41">
        <f t="shared" si="35"/>
        <v>2</v>
      </c>
    </row>
    <row r="544" spans="2:9" x14ac:dyDescent="0.25">
      <c r="B544" s="14" t="s">
        <v>54</v>
      </c>
      <c r="C544" s="38">
        <v>41212</v>
      </c>
      <c r="D544" s="39">
        <v>0.66111111111111109</v>
      </c>
      <c r="E544" s="8">
        <v>1.82</v>
      </c>
      <c r="F544" s="32" t="str">
        <f t="shared" si="32"/>
        <v>Yes</v>
      </c>
      <c r="G544" s="32" t="str">
        <f t="shared" si="33"/>
        <v>Yes</v>
      </c>
      <c r="H544" s="40" t="str">
        <f t="shared" si="34"/>
        <v>Yes</v>
      </c>
      <c r="I544" s="41">
        <f t="shared" si="35"/>
        <v>2</v>
      </c>
    </row>
    <row r="545" spans="2:9" x14ac:dyDescent="0.25">
      <c r="B545" s="14" t="s">
        <v>55</v>
      </c>
      <c r="C545" s="38">
        <v>41213</v>
      </c>
      <c r="D545" s="39">
        <v>0.43333333333333335</v>
      </c>
      <c r="E545" s="8">
        <v>2.83</v>
      </c>
      <c r="F545" s="32" t="str">
        <f t="shared" si="32"/>
        <v>Yes</v>
      </c>
      <c r="G545" s="32" t="str">
        <f t="shared" si="33"/>
        <v>Yes</v>
      </c>
      <c r="H545" s="40" t="str">
        <f t="shared" si="34"/>
        <v>Yes</v>
      </c>
      <c r="I545" s="41">
        <f t="shared" si="35"/>
        <v>3</v>
      </c>
    </row>
    <row r="546" spans="2:9" x14ac:dyDescent="0.25">
      <c r="B546" s="14" t="s">
        <v>55</v>
      </c>
      <c r="C546" s="38">
        <v>41213</v>
      </c>
      <c r="D546" s="39">
        <v>0.46527777777777773</v>
      </c>
      <c r="E546" s="8">
        <v>1.4</v>
      </c>
      <c r="F546" s="32" t="str">
        <f t="shared" si="32"/>
        <v>Yes</v>
      </c>
      <c r="G546" s="32" t="str">
        <f t="shared" si="33"/>
        <v>Yes</v>
      </c>
      <c r="H546" s="40" t="str">
        <f t="shared" si="34"/>
        <v>Yes</v>
      </c>
      <c r="I546" s="41">
        <f t="shared" si="35"/>
        <v>2</v>
      </c>
    </row>
    <row r="547" spans="2:9" x14ac:dyDescent="0.25">
      <c r="B547" s="14" t="s">
        <v>55</v>
      </c>
      <c r="C547" s="38">
        <v>41213</v>
      </c>
      <c r="D547" s="39">
        <v>0.48333333333333334</v>
      </c>
      <c r="E547" s="8">
        <v>5.15</v>
      </c>
      <c r="F547" s="32" t="str">
        <f t="shared" si="32"/>
        <v>Yes</v>
      </c>
      <c r="G547" s="32" t="str">
        <f t="shared" si="33"/>
        <v>Yes</v>
      </c>
      <c r="H547" s="40" t="str">
        <f t="shared" si="34"/>
        <v>Yes</v>
      </c>
      <c r="I547" s="41">
        <f t="shared" si="35"/>
        <v>6</v>
      </c>
    </row>
    <row r="548" spans="2:9" x14ac:dyDescent="0.25">
      <c r="B548" s="14" t="s">
        <v>55</v>
      </c>
      <c r="C548" s="38">
        <v>41213</v>
      </c>
      <c r="D548" s="39">
        <v>0.52708333333333335</v>
      </c>
      <c r="E548" s="8">
        <v>1.4</v>
      </c>
      <c r="F548" s="32" t="str">
        <f t="shared" si="32"/>
        <v>Yes</v>
      </c>
      <c r="G548" s="32" t="str">
        <f t="shared" si="33"/>
        <v>Yes</v>
      </c>
      <c r="H548" s="40" t="str">
        <f t="shared" si="34"/>
        <v>Yes</v>
      </c>
      <c r="I548" s="41">
        <f t="shared" si="35"/>
        <v>2</v>
      </c>
    </row>
    <row r="549" spans="2:9" x14ac:dyDescent="0.25">
      <c r="B549" s="14" t="s">
        <v>55</v>
      </c>
      <c r="C549" s="38">
        <v>41213</v>
      </c>
      <c r="D549" s="39">
        <v>0.53680555555555554</v>
      </c>
      <c r="E549" s="8">
        <v>1.7</v>
      </c>
      <c r="F549" s="32" t="str">
        <f t="shared" si="32"/>
        <v>Yes</v>
      </c>
      <c r="G549" s="32" t="str">
        <f t="shared" si="33"/>
        <v>Yes</v>
      </c>
      <c r="H549" s="40" t="str">
        <f t="shared" si="34"/>
        <v>Yes</v>
      </c>
      <c r="I549" s="41">
        <f t="shared" si="35"/>
        <v>2</v>
      </c>
    </row>
    <row r="550" spans="2:9" x14ac:dyDescent="0.25">
      <c r="B550" s="14" t="s">
        <v>55</v>
      </c>
      <c r="C550" s="38">
        <v>41213</v>
      </c>
      <c r="D550" s="39">
        <v>0.54861111111111105</v>
      </c>
      <c r="E550" s="8">
        <v>0.28000000000000003</v>
      </c>
      <c r="F550" s="32" t="str">
        <f t="shared" si="32"/>
        <v>Yes</v>
      </c>
      <c r="G550" s="32" t="str">
        <f t="shared" si="33"/>
        <v>Yes</v>
      </c>
      <c r="H550" s="40" t="str">
        <f t="shared" si="34"/>
        <v>Yes</v>
      </c>
      <c r="I550" s="41">
        <f t="shared" si="35"/>
        <v>1</v>
      </c>
    </row>
    <row r="551" spans="2:9" x14ac:dyDescent="0.25">
      <c r="B551" s="14" t="s">
        <v>55</v>
      </c>
      <c r="C551" s="38">
        <v>41213</v>
      </c>
      <c r="D551" s="39">
        <v>0.56041666666666667</v>
      </c>
      <c r="E551" s="8">
        <v>0.57999999999999996</v>
      </c>
      <c r="F551" s="32" t="str">
        <f t="shared" si="32"/>
        <v>Yes</v>
      </c>
      <c r="G551" s="32" t="str">
        <f t="shared" si="33"/>
        <v>Yes</v>
      </c>
      <c r="H551" s="40" t="str">
        <f t="shared" si="34"/>
        <v>Yes</v>
      </c>
      <c r="I551" s="41">
        <f t="shared" si="35"/>
        <v>1</v>
      </c>
    </row>
    <row r="552" spans="2:9" x14ac:dyDescent="0.25">
      <c r="B552" s="14" t="s">
        <v>55</v>
      </c>
      <c r="C552" s="38">
        <v>41213</v>
      </c>
      <c r="D552" s="39">
        <v>0.56944444444444442</v>
      </c>
      <c r="E552" s="8">
        <v>1.1599999999999999</v>
      </c>
      <c r="F552" s="32" t="str">
        <f t="shared" si="32"/>
        <v>Yes</v>
      </c>
      <c r="G552" s="32" t="str">
        <f t="shared" si="33"/>
        <v>Yes</v>
      </c>
      <c r="H552" s="40" t="str">
        <f t="shared" si="34"/>
        <v>Yes</v>
      </c>
      <c r="I552" s="41">
        <f t="shared" si="35"/>
        <v>2</v>
      </c>
    </row>
    <row r="553" spans="2:9" x14ac:dyDescent="0.25">
      <c r="B553" s="14" t="s">
        <v>55</v>
      </c>
      <c r="C553" s="38">
        <v>41213</v>
      </c>
      <c r="D553" s="39">
        <v>0.59166666666666667</v>
      </c>
      <c r="E553" s="8">
        <v>3.73</v>
      </c>
      <c r="F553" s="32" t="str">
        <f t="shared" si="32"/>
        <v>Yes</v>
      </c>
      <c r="G553" s="32" t="str">
        <f t="shared" si="33"/>
        <v>Yes</v>
      </c>
      <c r="H553" s="40" t="str">
        <f t="shared" si="34"/>
        <v>Yes</v>
      </c>
      <c r="I553" s="41">
        <f t="shared" si="35"/>
        <v>4</v>
      </c>
    </row>
    <row r="554" spans="2:9" ht="15.75" thickBot="1" x14ac:dyDescent="0.3">
      <c r="B554" s="21" t="s">
        <v>55</v>
      </c>
      <c r="C554" s="43">
        <v>41213</v>
      </c>
      <c r="D554" s="44">
        <v>0.65208333333333335</v>
      </c>
      <c r="E554" s="45">
        <v>0.83</v>
      </c>
      <c r="F554" s="46" t="str">
        <f t="shared" si="32"/>
        <v>Yes</v>
      </c>
      <c r="G554" s="46" t="str">
        <f t="shared" si="33"/>
        <v>Yes</v>
      </c>
      <c r="H554" s="40" t="str">
        <f t="shared" si="34"/>
        <v>Yes</v>
      </c>
      <c r="I554" s="41">
        <f t="shared" si="35"/>
        <v>1</v>
      </c>
    </row>
    <row r="555" spans="2:9" x14ac:dyDescent="0.25">
      <c r="B555" s="83"/>
      <c r="C555" s="83"/>
      <c r="D555" s="83"/>
      <c r="E555" s="83"/>
      <c r="F555" s="83"/>
      <c r="G555" s="83"/>
      <c r="H555" s="88"/>
      <c r="I555" s="88"/>
    </row>
    <row r="556" spans="2:9" x14ac:dyDescent="0.25">
      <c r="C556" s="38"/>
    </row>
    <row r="557" spans="2:9" x14ac:dyDescent="0.25">
      <c r="C557" s="38"/>
    </row>
    <row r="558" spans="2:9" x14ac:dyDescent="0.25">
      <c r="C558" s="38"/>
    </row>
    <row r="559" spans="2:9" x14ac:dyDescent="0.25">
      <c r="C559" s="38"/>
    </row>
    <row r="560" spans="2:9" x14ac:dyDescent="0.25">
      <c r="C560" s="38"/>
    </row>
    <row r="561" spans="3:3" x14ac:dyDescent="0.25">
      <c r="C561" s="38"/>
    </row>
    <row r="562" spans="3:3" x14ac:dyDescent="0.25">
      <c r="C562" s="38"/>
    </row>
    <row r="563" spans="3:3" x14ac:dyDescent="0.25">
      <c r="C563" s="38"/>
    </row>
    <row r="564" spans="3:3" x14ac:dyDescent="0.25">
      <c r="C564" s="38"/>
    </row>
    <row r="565" spans="3:3" x14ac:dyDescent="0.25">
      <c r="C565" s="38"/>
    </row>
    <row r="566" spans="3:3" x14ac:dyDescent="0.25">
      <c r="C566" s="38"/>
    </row>
    <row r="567" spans="3:3" x14ac:dyDescent="0.25">
      <c r="C567" s="38"/>
    </row>
    <row r="568" spans="3:3" x14ac:dyDescent="0.25">
      <c r="C568" s="38"/>
    </row>
    <row r="569" spans="3:3" x14ac:dyDescent="0.25">
      <c r="C569" s="38"/>
    </row>
    <row r="570" spans="3:3" x14ac:dyDescent="0.25">
      <c r="C570" s="38"/>
    </row>
    <row r="571" spans="3:3" x14ac:dyDescent="0.25">
      <c r="C571" s="38"/>
    </row>
    <row r="572" spans="3:3" x14ac:dyDescent="0.25">
      <c r="C572" s="38"/>
    </row>
    <row r="573" spans="3:3" x14ac:dyDescent="0.25">
      <c r="C573" s="38"/>
    </row>
    <row r="574" spans="3:3" x14ac:dyDescent="0.25">
      <c r="C574" s="38"/>
    </row>
    <row r="575" spans="3:3" x14ac:dyDescent="0.25">
      <c r="C575" s="38"/>
    </row>
    <row r="576" spans="3:3" x14ac:dyDescent="0.25">
      <c r="C576" s="38"/>
    </row>
    <row r="577" spans="3:3" x14ac:dyDescent="0.25">
      <c r="C577" s="38"/>
    </row>
    <row r="578" spans="3:3" x14ac:dyDescent="0.25">
      <c r="C578" s="38"/>
    </row>
    <row r="579" spans="3:3" x14ac:dyDescent="0.25">
      <c r="C579" s="38"/>
    </row>
    <row r="580" spans="3:3" x14ac:dyDescent="0.25">
      <c r="C580" s="38"/>
    </row>
    <row r="581" spans="3:3" x14ac:dyDescent="0.25">
      <c r="C581" s="38"/>
    </row>
    <row r="582" spans="3:3" x14ac:dyDescent="0.25">
      <c r="C582" s="38"/>
    </row>
    <row r="583" spans="3:3" x14ac:dyDescent="0.25">
      <c r="C583" s="38"/>
    </row>
    <row r="584" spans="3:3" x14ac:dyDescent="0.25">
      <c r="C584" s="38"/>
    </row>
    <row r="585" spans="3:3" x14ac:dyDescent="0.25">
      <c r="C585" s="38"/>
    </row>
    <row r="586" spans="3:3" x14ac:dyDescent="0.25">
      <c r="C586" s="38"/>
    </row>
    <row r="587" spans="3:3" x14ac:dyDescent="0.25">
      <c r="C587" s="38"/>
    </row>
    <row r="588" spans="3:3" x14ac:dyDescent="0.25">
      <c r="C588" s="38"/>
    </row>
    <row r="589" spans="3:3" x14ac:dyDescent="0.25">
      <c r="C589" s="38"/>
    </row>
    <row r="590" spans="3:3" x14ac:dyDescent="0.25">
      <c r="C590" s="38"/>
    </row>
    <row r="591" spans="3:3" x14ac:dyDescent="0.25">
      <c r="C591" s="38"/>
    </row>
    <row r="592" spans="3:3" x14ac:dyDescent="0.25">
      <c r="C592" s="38"/>
    </row>
    <row r="593" spans="3:3" x14ac:dyDescent="0.25">
      <c r="C593" s="38"/>
    </row>
    <row r="594" spans="3:3" x14ac:dyDescent="0.25">
      <c r="C594" s="38"/>
    </row>
    <row r="595" spans="3:3" x14ac:dyDescent="0.25">
      <c r="C595" s="38"/>
    </row>
    <row r="596" spans="3:3" x14ac:dyDescent="0.25">
      <c r="C596" s="38"/>
    </row>
    <row r="597" spans="3:3" x14ac:dyDescent="0.25">
      <c r="C597" s="38"/>
    </row>
    <row r="598" spans="3:3" x14ac:dyDescent="0.25">
      <c r="C598" s="38"/>
    </row>
    <row r="599" spans="3:3" x14ac:dyDescent="0.25">
      <c r="C599" s="38"/>
    </row>
    <row r="600" spans="3:3" x14ac:dyDescent="0.25">
      <c r="C600" s="38"/>
    </row>
    <row r="601" spans="3:3" x14ac:dyDescent="0.25">
      <c r="C601" s="38"/>
    </row>
    <row r="602" spans="3:3" x14ac:dyDescent="0.25">
      <c r="C602" s="38"/>
    </row>
    <row r="603" spans="3:3" x14ac:dyDescent="0.25">
      <c r="C603" s="38"/>
    </row>
    <row r="604" spans="3:3" x14ac:dyDescent="0.25">
      <c r="C604" s="38"/>
    </row>
    <row r="605" spans="3:3" x14ac:dyDescent="0.25">
      <c r="C605" s="38"/>
    </row>
    <row r="606" spans="3:3" x14ac:dyDescent="0.25">
      <c r="C606" s="38"/>
    </row>
    <row r="607" spans="3:3" x14ac:dyDescent="0.25">
      <c r="C607" s="38"/>
    </row>
    <row r="608" spans="3:3" x14ac:dyDescent="0.25">
      <c r="C608" s="38"/>
    </row>
    <row r="609" spans="3:4" x14ac:dyDescent="0.25">
      <c r="C609" s="38"/>
    </row>
    <row r="610" spans="3:4" x14ac:dyDescent="0.25">
      <c r="C610" s="38"/>
    </row>
    <row r="611" spans="3:4" x14ac:dyDescent="0.25">
      <c r="C611" s="38"/>
    </row>
    <row r="612" spans="3:4" x14ac:dyDescent="0.25">
      <c r="C612" s="38"/>
    </row>
    <row r="613" spans="3:4" x14ac:dyDescent="0.25">
      <c r="C613" s="38"/>
    </row>
    <row r="614" spans="3:4" x14ac:dyDescent="0.25">
      <c r="C614" s="38"/>
    </row>
    <row r="615" spans="3:4" x14ac:dyDescent="0.25">
      <c r="C615" s="38"/>
    </row>
    <row r="616" spans="3:4" x14ac:dyDescent="0.25">
      <c r="C616" s="38"/>
    </row>
    <row r="617" spans="3:4" x14ac:dyDescent="0.25">
      <c r="C617" s="38"/>
    </row>
    <row r="618" spans="3:4" x14ac:dyDescent="0.25">
      <c r="C618" s="38"/>
    </row>
    <row r="619" spans="3:4" x14ac:dyDescent="0.25">
      <c r="C619" s="38"/>
    </row>
    <row r="620" spans="3:4" x14ac:dyDescent="0.25">
      <c r="C620" s="38"/>
    </row>
    <row r="621" spans="3:4" x14ac:dyDescent="0.25">
      <c r="C621" s="38"/>
    </row>
    <row r="622" spans="3:4" x14ac:dyDescent="0.25">
      <c r="C622" s="38"/>
    </row>
    <row r="623" spans="3:4" x14ac:dyDescent="0.25">
      <c r="C623" s="38"/>
    </row>
    <row r="624" spans="3:4" x14ac:dyDescent="0.25">
      <c r="C624" s="38"/>
      <c r="D624" s="47"/>
    </row>
    <row r="625" spans="3:4" x14ac:dyDescent="0.25">
      <c r="C625" s="38"/>
    </row>
    <row r="626" spans="3:4" x14ac:dyDescent="0.25">
      <c r="C626" s="38"/>
    </row>
    <row r="627" spans="3:4" x14ac:dyDescent="0.25">
      <c r="C627" s="38"/>
    </row>
    <row r="628" spans="3:4" x14ac:dyDescent="0.25">
      <c r="C628" s="38"/>
      <c r="D628" s="47"/>
    </row>
    <row r="629" spans="3:4" x14ac:dyDescent="0.25">
      <c r="C629" s="38"/>
    </row>
    <row r="630" spans="3:4" x14ac:dyDescent="0.25">
      <c r="C630" s="38"/>
    </row>
    <row r="631" spans="3:4" x14ac:dyDescent="0.25">
      <c r="C631" s="38"/>
    </row>
    <row r="632" spans="3:4" x14ac:dyDescent="0.25">
      <c r="C632" s="38"/>
    </row>
    <row r="633" spans="3:4" x14ac:dyDescent="0.25">
      <c r="C633" s="38"/>
    </row>
    <row r="634" spans="3:4" x14ac:dyDescent="0.25">
      <c r="C634" s="38"/>
      <c r="D634" s="47"/>
    </row>
    <row r="635" spans="3:4" x14ac:dyDescent="0.25">
      <c r="C635" s="38"/>
    </row>
    <row r="636" spans="3:4" x14ac:dyDescent="0.25">
      <c r="C636" s="38"/>
    </row>
    <row r="637" spans="3:4" x14ac:dyDescent="0.25">
      <c r="C637" s="38"/>
    </row>
    <row r="638" spans="3:4" x14ac:dyDescent="0.25">
      <c r="C638" s="38"/>
    </row>
    <row r="639" spans="3:4" x14ac:dyDescent="0.25">
      <c r="C639" s="38"/>
    </row>
    <row r="640" spans="3:4" x14ac:dyDescent="0.25">
      <c r="C640" s="38"/>
    </row>
    <row r="641" spans="3:3" x14ac:dyDescent="0.25">
      <c r="C641" s="38"/>
    </row>
    <row r="642" spans="3:3" x14ac:dyDescent="0.25">
      <c r="C642" s="38"/>
    </row>
    <row r="643" spans="3:3" x14ac:dyDescent="0.25">
      <c r="C643" s="38"/>
    </row>
    <row r="644" spans="3:3" x14ac:dyDescent="0.25">
      <c r="C644" s="38"/>
    </row>
    <row r="645" spans="3:3" x14ac:dyDescent="0.25">
      <c r="C645" s="38"/>
    </row>
    <row r="646" spans="3:3" x14ac:dyDescent="0.25">
      <c r="C646" s="38"/>
    </row>
    <row r="647" spans="3:3" x14ac:dyDescent="0.25">
      <c r="C647" s="38"/>
    </row>
    <row r="648" spans="3:3" x14ac:dyDescent="0.25">
      <c r="C648" s="38"/>
    </row>
    <row r="649" spans="3:3" x14ac:dyDescent="0.25">
      <c r="C649" s="38"/>
    </row>
    <row r="650" spans="3:3" x14ac:dyDescent="0.25">
      <c r="C650" s="38"/>
    </row>
    <row r="651" spans="3:3" x14ac:dyDescent="0.25">
      <c r="C651" s="38"/>
    </row>
    <row r="652" spans="3:3" x14ac:dyDescent="0.25">
      <c r="C652" s="38"/>
    </row>
    <row r="653" spans="3:3" x14ac:dyDescent="0.25">
      <c r="C653" s="38"/>
    </row>
    <row r="654" spans="3:3" x14ac:dyDescent="0.25">
      <c r="C654" s="38"/>
    </row>
    <row r="655" spans="3:3" x14ac:dyDescent="0.25">
      <c r="C655" s="38"/>
    </row>
    <row r="656" spans="3:3" x14ac:dyDescent="0.25">
      <c r="C656" s="38"/>
    </row>
    <row r="657" spans="3:3" x14ac:dyDescent="0.25">
      <c r="C657" s="38"/>
    </row>
    <row r="658" spans="3:3" x14ac:dyDescent="0.25">
      <c r="C658" s="38"/>
    </row>
    <row r="659" spans="3:3" x14ac:dyDescent="0.25">
      <c r="C659" s="38"/>
    </row>
    <row r="660" spans="3:3" x14ac:dyDescent="0.25">
      <c r="C660" s="38"/>
    </row>
    <row r="661" spans="3:3" x14ac:dyDescent="0.25">
      <c r="C661" s="38"/>
    </row>
    <row r="662" spans="3:3" x14ac:dyDescent="0.25">
      <c r="C662" s="38"/>
    </row>
    <row r="663" spans="3:3" x14ac:dyDescent="0.25">
      <c r="C663" s="38"/>
    </row>
    <row r="664" spans="3:3" x14ac:dyDescent="0.25">
      <c r="C664" s="38"/>
    </row>
    <row r="665" spans="3:3" x14ac:dyDescent="0.25">
      <c r="C665" s="38"/>
    </row>
    <row r="666" spans="3:3" x14ac:dyDescent="0.25">
      <c r="C666" s="38"/>
    </row>
    <row r="667" spans="3:3" x14ac:dyDescent="0.25">
      <c r="C667" s="38"/>
    </row>
    <row r="668" spans="3:3" x14ac:dyDescent="0.25">
      <c r="C668" s="38"/>
    </row>
    <row r="669" spans="3:3" x14ac:dyDescent="0.25">
      <c r="C669" s="38"/>
    </row>
    <row r="670" spans="3:3" x14ac:dyDescent="0.25">
      <c r="C670" s="38"/>
    </row>
    <row r="671" spans="3:3" x14ac:dyDescent="0.25">
      <c r="C671" s="38"/>
    </row>
    <row r="672" spans="3:3" x14ac:dyDescent="0.25">
      <c r="C672" s="38"/>
    </row>
    <row r="673" spans="3:4" x14ac:dyDescent="0.25">
      <c r="C673" s="38"/>
    </row>
    <row r="674" spans="3:4" x14ac:dyDescent="0.25">
      <c r="C674" s="38"/>
    </row>
    <row r="675" spans="3:4" x14ac:dyDescent="0.25">
      <c r="C675" s="38"/>
    </row>
    <row r="676" spans="3:4" x14ac:dyDescent="0.25">
      <c r="C676" s="38"/>
      <c r="D676" s="47"/>
    </row>
    <row r="677" spans="3:4" x14ac:dyDescent="0.25">
      <c r="C677" s="38"/>
    </row>
    <row r="678" spans="3:4" x14ac:dyDescent="0.25">
      <c r="C678" s="38"/>
    </row>
    <row r="679" spans="3:4" x14ac:dyDescent="0.25">
      <c r="C679" s="38"/>
    </row>
    <row r="680" spans="3:4" x14ac:dyDescent="0.25">
      <c r="C680" s="38"/>
    </row>
    <row r="681" spans="3:4" x14ac:dyDescent="0.25">
      <c r="C681" s="38"/>
    </row>
    <row r="682" spans="3:4" x14ac:dyDescent="0.25">
      <c r="C682" s="38"/>
    </row>
    <row r="683" spans="3:4" x14ac:dyDescent="0.25">
      <c r="C683" s="38"/>
    </row>
    <row r="684" spans="3:4" x14ac:dyDescent="0.25">
      <c r="C684" s="38"/>
    </row>
    <row r="685" spans="3:4" x14ac:dyDescent="0.25">
      <c r="C685" s="38"/>
    </row>
    <row r="686" spans="3:4" x14ac:dyDescent="0.25">
      <c r="C686" s="38"/>
    </row>
    <row r="687" spans="3:4" x14ac:dyDescent="0.25">
      <c r="C687" s="38"/>
    </row>
    <row r="688" spans="3:4" x14ac:dyDescent="0.25">
      <c r="C688" s="38"/>
    </row>
    <row r="689" spans="3:3" x14ac:dyDescent="0.25">
      <c r="C689" s="38"/>
    </row>
    <row r="690" spans="3:3" x14ac:dyDescent="0.25">
      <c r="C690" s="38"/>
    </row>
    <row r="691" spans="3:3" x14ac:dyDescent="0.25">
      <c r="C691" s="38"/>
    </row>
    <row r="692" spans="3:3" x14ac:dyDescent="0.25">
      <c r="C692" s="38"/>
    </row>
    <row r="693" spans="3:3" x14ac:dyDescent="0.25">
      <c r="C693" s="38"/>
    </row>
    <row r="694" spans="3:3" x14ac:dyDescent="0.25">
      <c r="C694" s="38"/>
    </row>
    <row r="695" spans="3:3" x14ac:dyDescent="0.25">
      <c r="C695" s="38"/>
    </row>
    <row r="696" spans="3:3" x14ac:dyDescent="0.25">
      <c r="C696" s="38"/>
    </row>
    <row r="697" spans="3:3" x14ac:dyDescent="0.25">
      <c r="C697" s="38"/>
    </row>
    <row r="698" spans="3:3" x14ac:dyDescent="0.25">
      <c r="C698" s="38"/>
    </row>
    <row r="699" spans="3:3" x14ac:dyDescent="0.25">
      <c r="C699" s="38"/>
    </row>
    <row r="700" spans="3:3" x14ac:dyDescent="0.25">
      <c r="C700" s="38"/>
    </row>
    <row r="701" spans="3:3" x14ac:dyDescent="0.25">
      <c r="C701" s="38"/>
    </row>
    <row r="702" spans="3:3" x14ac:dyDescent="0.25">
      <c r="C702" s="38"/>
    </row>
    <row r="703" spans="3:3" x14ac:dyDescent="0.25">
      <c r="C703" s="38"/>
    </row>
    <row r="704" spans="3:3" x14ac:dyDescent="0.25">
      <c r="C704" s="38"/>
    </row>
    <row r="705" spans="3:3" x14ac:dyDescent="0.25">
      <c r="C705" s="38"/>
    </row>
    <row r="706" spans="3:3" x14ac:dyDescent="0.25">
      <c r="C706" s="38"/>
    </row>
    <row r="707" spans="3:3" x14ac:dyDescent="0.25">
      <c r="C707" s="38"/>
    </row>
    <row r="708" spans="3:3" x14ac:dyDescent="0.25">
      <c r="C708" s="38"/>
    </row>
    <row r="709" spans="3:3" x14ac:dyDescent="0.25">
      <c r="C709" s="38"/>
    </row>
    <row r="710" spans="3:3" x14ac:dyDescent="0.25">
      <c r="C710" s="38"/>
    </row>
    <row r="711" spans="3:3" x14ac:dyDescent="0.25">
      <c r="C711" s="38"/>
    </row>
    <row r="712" spans="3:3" x14ac:dyDescent="0.25">
      <c r="C712" s="38"/>
    </row>
    <row r="713" spans="3:3" x14ac:dyDescent="0.25">
      <c r="C713" s="38"/>
    </row>
    <row r="714" spans="3:3" x14ac:dyDescent="0.25">
      <c r="C714" s="38"/>
    </row>
    <row r="715" spans="3:3" x14ac:dyDescent="0.25">
      <c r="C715" s="38"/>
    </row>
    <row r="716" spans="3:3" x14ac:dyDescent="0.25">
      <c r="C716" s="38"/>
    </row>
    <row r="717" spans="3:3" x14ac:dyDescent="0.25">
      <c r="C717" s="38"/>
    </row>
    <row r="718" spans="3:3" x14ac:dyDescent="0.25">
      <c r="C718" s="38"/>
    </row>
    <row r="719" spans="3:3" x14ac:dyDescent="0.25">
      <c r="C719" s="38"/>
    </row>
    <row r="720" spans="3:3" x14ac:dyDescent="0.25">
      <c r="C720" s="38"/>
    </row>
    <row r="721" spans="3:4" x14ac:dyDescent="0.25">
      <c r="C721" s="38"/>
    </row>
    <row r="722" spans="3:4" x14ac:dyDescent="0.25">
      <c r="C722" s="38"/>
    </row>
    <row r="723" spans="3:4" x14ac:dyDescent="0.25">
      <c r="C723" s="38"/>
    </row>
    <row r="724" spans="3:4" x14ac:dyDescent="0.25">
      <c r="C724" s="38"/>
      <c r="D724" s="48"/>
    </row>
    <row r="725" spans="3:4" x14ac:dyDescent="0.25">
      <c r="C725" s="38"/>
    </row>
    <row r="726" spans="3:4" x14ac:dyDescent="0.25">
      <c r="C726" s="38"/>
    </row>
    <row r="727" spans="3:4" x14ac:dyDescent="0.25">
      <c r="C727" s="38"/>
    </row>
    <row r="728" spans="3:4" x14ac:dyDescent="0.25">
      <c r="C728" s="38"/>
    </row>
    <row r="729" spans="3:4" x14ac:dyDescent="0.25">
      <c r="C729" s="38"/>
    </row>
    <row r="730" spans="3:4" x14ac:dyDescent="0.25">
      <c r="C730" s="38"/>
    </row>
    <row r="731" spans="3:4" x14ac:dyDescent="0.25">
      <c r="C731" s="38"/>
    </row>
    <row r="732" spans="3:4" x14ac:dyDescent="0.25">
      <c r="C732" s="38"/>
    </row>
    <row r="733" spans="3:4" x14ac:dyDescent="0.25">
      <c r="C733" s="38"/>
    </row>
    <row r="734" spans="3:4" x14ac:dyDescent="0.25">
      <c r="C734" s="38"/>
    </row>
    <row r="735" spans="3:4" x14ac:dyDescent="0.25">
      <c r="C735" s="38"/>
    </row>
    <row r="736" spans="3:4" x14ac:dyDescent="0.25">
      <c r="C736" s="38"/>
    </row>
    <row r="737" spans="3:4" x14ac:dyDescent="0.25">
      <c r="C737" s="38"/>
    </row>
    <row r="738" spans="3:4" x14ac:dyDescent="0.25">
      <c r="C738" s="38"/>
    </row>
    <row r="739" spans="3:4" x14ac:dyDescent="0.25">
      <c r="C739" s="38"/>
    </row>
    <row r="740" spans="3:4" x14ac:dyDescent="0.25">
      <c r="C740" s="38"/>
    </row>
    <row r="741" spans="3:4" x14ac:dyDescent="0.25">
      <c r="C741" s="38"/>
    </row>
    <row r="742" spans="3:4" x14ac:dyDescent="0.25">
      <c r="C742" s="38"/>
    </row>
    <row r="743" spans="3:4" x14ac:dyDescent="0.25">
      <c r="C743" s="38"/>
    </row>
    <row r="744" spans="3:4" x14ac:dyDescent="0.25">
      <c r="C744" s="38"/>
    </row>
    <row r="745" spans="3:4" x14ac:dyDescent="0.25">
      <c r="C745" s="38"/>
    </row>
    <row r="746" spans="3:4" x14ac:dyDescent="0.25">
      <c r="C746" s="38"/>
      <c r="D746" s="47"/>
    </row>
    <row r="747" spans="3:4" x14ac:dyDescent="0.25">
      <c r="C747" s="38"/>
    </row>
    <row r="748" spans="3:4" x14ac:dyDescent="0.25">
      <c r="C748" s="38"/>
    </row>
    <row r="749" spans="3:4" x14ac:dyDescent="0.25">
      <c r="C749" s="38"/>
    </row>
    <row r="750" spans="3:4" x14ac:dyDescent="0.25">
      <c r="C750" s="38"/>
    </row>
    <row r="751" spans="3:4" x14ac:dyDescent="0.25">
      <c r="C751" s="38"/>
    </row>
    <row r="752" spans="3:4" x14ac:dyDescent="0.25">
      <c r="C752" s="38"/>
    </row>
    <row r="753" spans="3:3" x14ac:dyDescent="0.25">
      <c r="C753" s="38"/>
    </row>
    <row r="754" spans="3:3" x14ac:dyDescent="0.25">
      <c r="C754" s="38"/>
    </row>
    <row r="755" spans="3:3" x14ac:dyDescent="0.25">
      <c r="C755" s="38"/>
    </row>
    <row r="756" spans="3:3" x14ac:dyDescent="0.25">
      <c r="C756" s="38"/>
    </row>
    <row r="757" spans="3:3" x14ac:dyDescent="0.25">
      <c r="C757" s="38"/>
    </row>
    <row r="758" spans="3:3" x14ac:dyDescent="0.25">
      <c r="C758" s="38"/>
    </row>
    <row r="759" spans="3:3" x14ac:dyDescent="0.25">
      <c r="C759" s="38"/>
    </row>
    <row r="760" spans="3:3" x14ac:dyDescent="0.25">
      <c r="C760" s="38"/>
    </row>
    <row r="761" spans="3:3" x14ac:dyDescent="0.25">
      <c r="C761" s="38"/>
    </row>
    <row r="762" spans="3:3" x14ac:dyDescent="0.25">
      <c r="C762" s="38"/>
    </row>
    <row r="763" spans="3:3" x14ac:dyDescent="0.25">
      <c r="C763" s="38"/>
    </row>
    <row r="764" spans="3:3" x14ac:dyDescent="0.25">
      <c r="C764" s="38"/>
    </row>
    <row r="765" spans="3:3" x14ac:dyDescent="0.25">
      <c r="C765" s="38"/>
    </row>
    <row r="766" spans="3:3" x14ac:dyDescent="0.25">
      <c r="C766" s="38"/>
    </row>
    <row r="767" spans="3:3" x14ac:dyDescent="0.25">
      <c r="C767" s="38"/>
    </row>
    <row r="768" spans="3:3" x14ac:dyDescent="0.25">
      <c r="C768" s="38"/>
    </row>
    <row r="769" spans="3:3" x14ac:dyDescent="0.25">
      <c r="C769" s="38"/>
    </row>
    <row r="770" spans="3:3" x14ac:dyDescent="0.25">
      <c r="C770" s="38"/>
    </row>
    <row r="771" spans="3:3" x14ac:dyDescent="0.25">
      <c r="C771" s="38"/>
    </row>
    <row r="772" spans="3:3" x14ac:dyDescent="0.25">
      <c r="C772" s="38"/>
    </row>
    <row r="773" spans="3:3" x14ac:dyDescent="0.25">
      <c r="C773" s="38"/>
    </row>
    <row r="774" spans="3:3" x14ac:dyDescent="0.25">
      <c r="C774" s="38"/>
    </row>
    <row r="775" spans="3:3" x14ac:dyDescent="0.25">
      <c r="C775" s="38"/>
    </row>
    <row r="776" spans="3:3" x14ac:dyDescent="0.25">
      <c r="C776" s="38"/>
    </row>
    <row r="777" spans="3:3" x14ac:dyDescent="0.25">
      <c r="C777" s="38"/>
    </row>
    <row r="778" spans="3:3" x14ac:dyDescent="0.25">
      <c r="C778" s="38"/>
    </row>
    <row r="779" spans="3:3" x14ac:dyDescent="0.25">
      <c r="C779" s="38"/>
    </row>
    <row r="780" spans="3:3" x14ac:dyDescent="0.25">
      <c r="C780" s="38"/>
    </row>
    <row r="781" spans="3:3" x14ac:dyDescent="0.25">
      <c r="C781" s="38"/>
    </row>
    <row r="782" spans="3:3" x14ac:dyDescent="0.25">
      <c r="C782" s="38"/>
    </row>
    <row r="783" spans="3:3" x14ac:dyDescent="0.25">
      <c r="C783" s="38"/>
    </row>
    <row r="784" spans="3:3" x14ac:dyDescent="0.25">
      <c r="C784" s="38"/>
    </row>
    <row r="785" spans="3:3" x14ac:dyDescent="0.25">
      <c r="C785" s="38"/>
    </row>
    <row r="786" spans="3:3" x14ac:dyDescent="0.25">
      <c r="C786" s="38"/>
    </row>
    <row r="787" spans="3:3" x14ac:dyDescent="0.25">
      <c r="C787" s="38"/>
    </row>
    <row r="788" spans="3:3" x14ac:dyDescent="0.25">
      <c r="C788" s="38"/>
    </row>
    <row r="789" spans="3:3" x14ac:dyDescent="0.25">
      <c r="C789" s="38"/>
    </row>
    <row r="790" spans="3:3" x14ac:dyDescent="0.25">
      <c r="C790" s="38"/>
    </row>
    <row r="791" spans="3:3" x14ac:dyDescent="0.25">
      <c r="C791" s="38"/>
    </row>
    <row r="792" spans="3:3" x14ac:dyDescent="0.25">
      <c r="C792" s="38"/>
    </row>
    <row r="793" spans="3:3" x14ac:dyDescent="0.25">
      <c r="C793" s="38"/>
    </row>
    <row r="794" spans="3:3" x14ac:dyDescent="0.25">
      <c r="C794" s="38"/>
    </row>
    <row r="795" spans="3:3" x14ac:dyDescent="0.25">
      <c r="C795" s="38"/>
    </row>
    <row r="796" spans="3:3" x14ac:dyDescent="0.25">
      <c r="C796" s="38"/>
    </row>
    <row r="797" spans="3:3" x14ac:dyDescent="0.25">
      <c r="C797" s="38"/>
    </row>
    <row r="798" spans="3:3" x14ac:dyDescent="0.25">
      <c r="C798" s="38"/>
    </row>
    <row r="799" spans="3:3" x14ac:dyDescent="0.25">
      <c r="C799" s="38"/>
    </row>
    <row r="800" spans="3:3" x14ac:dyDescent="0.25">
      <c r="C800" s="38"/>
    </row>
    <row r="801" spans="3:3" x14ac:dyDescent="0.25">
      <c r="C801" s="38"/>
    </row>
    <row r="802" spans="3:3" x14ac:dyDescent="0.25">
      <c r="C802" s="38"/>
    </row>
    <row r="803" spans="3:3" x14ac:dyDescent="0.25">
      <c r="C803" s="38"/>
    </row>
    <row r="804" spans="3:3" x14ac:dyDescent="0.25">
      <c r="C804" s="38"/>
    </row>
    <row r="805" spans="3:3" x14ac:dyDescent="0.25">
      <c r="C805" s="38"/>
    </row>
    <row r="806" spans="3:3" x14ac:dyDescent="0.25">
      <c r="C806" s="38"/>
    </row>
    <row r="807" spans="3:3" x14ac:dyDescent="0.25">
      <c r="C807" s="38"/>
    </row>
    <row r="808" spans="3:3" x14ac:dyDescent="0.25">
      <c r="C808" s="38"/>
    </row>
    <row r="809" spans="3:3" x14ac:dyDescent="0.25">
      <c r="C809" s="38"/>
    </row>
    <row r="810" spans="3:3" x14ac:dyDescent="0.25">
      <c r="C810" s="38"/>
    </row>
    <row r="811" spans="3:3" x14ac:dyDescent="0.25">
      <c r="C811" s="38"/>
    </row>
    <row r="812" spans="3:3" x14ac:dyDescent="0.25">
      <c r="C812" s="38"/>
    </row>
    <row r="813" spans="3:3" x14ac:dyDescent="0.25">
      <c r="C813" s="38"/>
    </row>
    <row r="814" spans="3:3" x14ac:dyDescent="0.25">
      <c r="C814" s="38"/>
    </row>
    <row r="815" spans="3:3" x14ac:dyDescent="0.25">
      <c r="C815" s="38"/>
    </row>
    <row r="816" spans="3:3" x14ac:dyDescent="0.25">
      <c r="C816" s="38"/>
    </row>
    <row r="817" spans="3:4" x14ac:dyDescent="0.25">
      <c r="C817" s="38"/>
    </row>
    <row r="818" spans="3:4" x14ac:dyDescent="0.25">
      <c r="C818" s="38"/>
    </row>
    <row r="819" spans="3:4" x14ac:dyDescent="0.25">
      <c r="C819" s="38"/>
    </row>
    <row r="820" spans="3:4" x14ac:dyDescent="0.25">
      <c r="C820" s="38"/>
    </row>
    <row r="821" spans="3:4" x14ac:dyDescent="0.25">
      <c r="C821" s="38"/>
    </row>
    <row r="822" spans="3:4" x14ac:dyDescent="0.25">
      <c r="C822" s="38"/>
    </row>
    <row r="823" spans="3:4" x14ac:dyDescent="0.25">
      <c r="C823" s="38"/>
    </row>
    <row r="824" spans="3:4" x14ac:dyDescent="0.25">
      <c r="C824" s="38"/>
    </row>
    <row r="825" spans="3:4" x14ac:dyDescent="0.25">
      <c r="C825" s="38"/>
    </row>
    <row r="826" spans="3:4" x14ac:dyDescent="0.25">
      <c r="C826" s="38"/>
      <c r="D826" s="47"/>
    </row>
    <row r="827" spans="3:4" x14ac:dyDescent="0.25">
      <c r="C827" s="38"/>
    </row>
    <row r="828" spans="3:4" x14ac:dyDescent="0.25">
      <c r="C828" s="38"/>
    </row>
    <row r="829" spans="3:4" x14ac:dyDescent="0.25">
      <c r="C829" s="38"/>
    </row>
    <row r="830" spans="3:4" x14ac:dyDescent="0.25">
      <c r="C830" s="38"/>
    </row>
    <row r="831" spans="3:4" x14ac:dyDescent="0.25">
      <c r="C831" s="38"/>
    </row>
    <row r="832" spans="3:4" x14ac:dyDescent="0.25">
      <c r="C832" s="38"/>
    </row>
    <row r="833" spans="3:3" x14ac:dyDescent="0.25">
      <c r="C833" s="38"/>
    </row>
    <row r="834" spans="3:3" x14ac:dyDescent="0.25">
      <c r="C834" s="38"/>
    </row>
    <row r="835" spans="3:3" x14ac:dyDescent="0.25">
      <c r="C835" s="38"/>
    </row>
    <row r="836" spans="3:3" x14ac:dyDescent="0.25">
      <c r="C836" s="38"/>
    </row>
    <row r="837" spans="3:3" x14ac:dyDescent="0.25">
      <c r="C837" s="38"/>
    </row>
    <row r="838" spans="3:3" x14ac:dyDescent="0.25">
      <c r="C838" s="38"/>
    </row>
    <row r="839" spans="3:3" x14ac:dyDescent="0.25">
      <c r="C839" s="38"/>
    </row>
    <row r="840" spans="3:3" x14ac:dyDescent="0.25">
      <c r="C840" s="38"/>
    </row>
    <row r="841" spans="3:3" x14ac:dyDescent="0.25">
      <c r="C841" s="38"/>
    </row>
    <row r="842" spans="3:3" x14ac:dyDescent="0.25">
      <c r="C842" s="38"/>
    </row>
    <row r="843" spans="3:3" x14ac:dyDescent="0.25">
      <c r="C843" s="38"/>
    </row>
    <row r="844" spans="3:3" x14ac:dyDescent="0.25">
      <c r="C844" s="38"/>
    </row>
    <row r="845" spans="3:3" x14ac:dyDescent="0.25">
      <c r="C845" s="38"/>
    </row>
    <row r="846" spans="3:3" x14ac:dyDescent="0.25">
      <c r="C846" s="38"/>
    </row>
    <row r="847" spans="3:3" x14ac:dyDescent="0.25">
      <c r="C847" s="38"/>
    </row>
    <row r="848" spans="3:3" x14ac:dyDescent="0.25">
      <c r="C848" s="38"/>
    </row>
    <row r="849" spans="3:4" x14ac:dyDescent="0.25">
      <c r="C849" s="38"/>
    </row>
    <row r="850" spans="3:4" x14ac:dyDescent="0.25">
      <c r="C850" s="38"/>
    </row>
    <row r="851" spans="3:4" x14ac:dyDescent="0.25">
      <c r="C851" s="38"/>
    </row>
    <row r="852" spans="3:4" x14ac:dyDescent="0.25">
      <c r="C852" s="38"/>
      <c r="D852" s="47"/>
    </row>
    <row r="853" spans="3:4" x14ac:dyDescent="0.25">
      <c r="C853" s="38"/>
    </row>
    <row r="854" spans="3:4" x14ac:dyDescent="0.25">
      <c r="C854" s="38"/>
    </row>
    <row r="855" spans="3:4" x14ac:dyDescent="0.25">
      <c r="C855" s="38"/>
    </row>
    <row r="856" spans="3:4" x14ac:dyDescent="0.25">
      <c r="C856" s="38"/>
    </row>
    <row r="857" spans="3:4" x14ac:dyDescent="0.25">
      <c r="C857" s="38"/>
    </row>
    <row r="858" spans="3:4" x14ac:dyDescent="0.25">
      <c r="C858" s="38"/>
    </row>
    <row r="859" spans="3:4" x14ac:dyDescent="0.25">
      <c r="C859" s="38"/>
    </row>
    <row r="860" spans="3:4" x14ac:dyDescent="0.25">
      <c r="C860" s="38"/>
    </row>
    <row r="861" spans="3:4" x14ac:dyDescent="0.25">
      <c r="C861" s="38"/>
    </row>
    <row r="862" spans="3:4" x14ac:dyDescent="0.25">
      <c r="C862" s="38"/>
    </row>
    <row r="863" spans="3:4" x14ac:dyDescent="0.25">
      <c r="C863" s="38"/>
    </row>
    <row r="864" spans="3:4" x14ac:dyDescent="0.25">
      <c r="C864" s="38"/>
    </row>
    <row r="865" spans="3:3" x14ac:dyDescent="0.25">
      <c r="C865" s="38"/>
    </row>
    <row r="866" spans="3:3" x14ac:dyDescent="0.25">
      <c r="C866" s="38"/>
    </row>
    <row r="867" spans="3:3" x14ac:dyDescent="0.25">
      <c r="C867" s="38"/>
    </row>
    <row r="868" spans="3:3" x14ac:dyDescent="0.25">
      <c r="C868" s="38"/>
    </row>
    <row r="869" spans="3:3" x14ac:dyDescent="0.25">
      <c r="C869" s="38"/>
    </row>
    <row r="870" spans="3:3" x14ac:dyDescent="0.25">
      <c r="C870" s="38"/>
    </row>
    <row r="871" spans="3:3" x14ac:dyDescent="0.25">
      <c r="C871" s="38"/>
    </row>
    <row r="872" spans="3:3" x14ac:dyDescent="0.25">
      <c r="C872" s="38"/>
    </row>
    <row r="873" spans="3:3" x14ac:dyDescent="0.25">
      <c r="C873" s="38"/>
    </row>
    <row r="874" spans="3:3" x14ac:dyDescent="0.25">
      <c r="C874" s="38"/>
    </row>
    <row r="875" spans="3:3" x14ac:dyDescent="0.25">
      <c r="C875" s="38"/>
    </row>
    <row r="876" spans="3:3" x14ac:dyDescent="0.25">
      <c r="C876" s="38"/>
    </row>
    <row r="877" spans="3:3" x14ac:dyDescent="0.25">
      <c r="C877" s="38"/>
    </row>
    <row r="878" spans="3:3" x14ac:dyDescent="0.25">
      <c r="C878" s="38"/>
    </row>
    <row r="879" spans="3:3" x14ac:dyDescent="0.25">
      <c r="C879" s="38"/>
    </row>
    <row r="880" spans="3:3" x14ac:dyDescent="0.25">
      <c r="C880" s="38"/>
    </row>
    <row r="881" spans="3:3" x14ac:dyDescent="0.25">
      <c r="C881" s="38"/>
    </row>
    <row r="882" spans="3:3" x14ac:dyDescent="0.25">
      <c r="C882" s="38"/>
    </row>
    <row r="883" spans="3:3" x14ac:dyDescent="0.25">
      <c r="C883" s="38"/>
    </row>
    <row r="884" spans="3:3" x14ac:dyDescent="0.25">
      <c r="C884" s="38"/>
    </row>
    <row r="885" spans="3:3" x14ac:dyDescent="0.25">
      <c r="C885" s="38"/>
    </row>
    <row r="886" spans="3:3" x14ac:dyDescent="0.25">
      <c r="C886" s="38"/>
    </row>
    <row r="887" spans="3:3" x14ac:dyDescent="0.25">
      <c r="C887" s="38"/>
    </row>
    <row r="888" spans="3:3" x14ac:dyDescent="0.25">
      <c r="C888" s="38"/>
    </row>
    <row r="889" spans="3:3" x14ac:dyDescent="0.25">
      <c r="C889" s="38"/>
    </row>
    <row r="890" spans="3:3" x14ac:dyDescent="0.25">
      <c r="C890" s="38"/>
    </row>
    <row r="891" spans="3:3" x14ac:dyDescent="0.25">
      <c r="C891" s="38"/>
    </row>
    <row r="892" spans="3:3" x14ac:dyDescent="0.25">
      <c r="C892" s="38"/>
    </row>
    <row r="893" spans="3:3" x14ac:dyDescent="0.25">
      <c r="C893" s="38"/>
    </row>
    <row r="894" spans="3:3" x14ac:dyDescent="0.25">
      <c r="C894" s="38"/>
    </row>
    <row r="895" spans="3:3" x14ac:dyDescent="0.25">
      <c r="C895" s="38"/>
    </row>
    <row r="896" spans="3:3" x14ac:dyDescent="0.25">
      <c r="C896" s="38"/>
    </row>
    <row r="897" spans="3:3" x14ac:dyDescent="0.25">
      <c r="C897" s="38"/>
    </row>
    <row r="898" spans="3:3" x14ac:dyDescent="0.25">
      <c r="C898" s="38"/>
    </row>
    <row r="899" spans="3:3" x14ac:dyDescent="0.25">
      <c r="C899" s="38"/>
    </row>
    <row r="900" spans="3:3" x14ac:dyDescent="0.25">
      <c r="C900" s="38"/>
    </row>
    <row r="901" spans="3:3" x14ac:dyDescent="0.25">
      <c r="C901" s="38"/>
    </row>
    <row r="902" spans="3:3" x14ac:dyDescent="0.25">
      <c r="C902" s="38"/>
    </row>
    <row r="903" spans="3:3" x14ac:dyDescent="0.25">
      <c r="C903" s="38"/>
    </row>
  </sheetData>
  <mergeCells count="1">
    <mergeCell ref="B555:I55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C8EBC-DF7A-4BCE-8488-1455E62C214A}">
  <sheetPr codeName="Sheet13"/>
  <dimension ref="B1:D766"/>
  <sheetViews>
    <sheetView topLeftCell="A750" workbookViewId="0"/>
  </sheetViews>
  <sheetFormatPr defaultColWidth="8.85546875" defaultRowHeight="15" x14ac:dyDescent="0.25"/>
  <cols>
    <col min="4" max="4" width="14.28515625" bestFit="1" customWidth="1"/>
  </cols>
  <sheetData>
    <row r="1" spans="2:4" ht="15.75" thickBot="1" x14ac:dyDescent="0.3"/>
    <row r="2" spans="2:4" x14ac:dyDescent="0.25">
      <c r="B2" s="35" t="s">
        <v>46</v>
      </c>
      <c r="C2" s="36" t="s">
        <v>47</v>
      </c>
      <c r="D2" s="37" t="s">
        <v>60</v>
      </c>
    </row>
    <row r="3" spans="2:4" x14ac:dyDescent="0.25">
      <c r="B3" s="49">
        <v>41183</v>
      </c>
      <c r="C3" s="50">
        <v>0.43611111111111112</v>
      </c>
      <c r="D3" s="20">
        <v>1068</v>
      </c>
    </row>
    <row r="4" spans="2:4" x14ac:dyDescent="0.25">
      <c r="B4" s="49">
        <v>41183</v>
      </c>
      <c r="C4" s="50">
        <v>0.46180555555555558</v>
      </c>
      <c r="D4" s="20">
        <v>60</v>
      </c>
    </row>
    <row r="5" spans="2:4" x14ac:dyDescent="0.25">
      <c r="B5" s="49">
        <v>41183</v>
      </c>
      <c r="C5" s="50">
        <v>0.49652777777777773</v>
      </c>
      <c r="D5" s="20">
        <v>2061</v>
      </c>
    </row>
    <row r="6" spans="2:4" x14ac:dyDescent="0.25">
      <c r="B6" s="49">
        <v>41183</v>
      </c>
      <c r="C6" s="50">
        <v>0.53680555555555554</v>
      </c>
      <c r="D6" s="20">
        <v>273</v>
      </c>
    </row>
    <row r="7" spans="2:4" x14ac:dyDescent="0.25">
      <c r="B7" s="49">
        <v>41183</v>
      </c>
      <c r="C7" s="50">
        <v>0.55972222222222223</v>
      </c>
      <c r="D7" s="20">
        <v>2027</v>
      </c>
    </row>
    <row r="8" spans="2:4" x14ac:dyDescent="0.25">
      <c r="B8" s="49">
        <v>41183</v>
      </c>
      <c r="C8" s="50">
        <v>0.56388888888888888</v>
      </c>
      <c r="D8" s="20">
        <v>63</v>
      </c>
    </row>
    <row r="9" spans="2:4" x14ac:dyDescent="0.25">
      <c r="B9" s="49">
        <v>41183</v>
      </c>
      <c r="C9" s="50">
        <v>0.57916666666666672</v>
      </c>
      <c r="D9" s="20">
        <v>4</v>
      </c>
    </row>
    <row r="10" spans="2:4" x14ac:dyDescent="0.25">
      <c r="B10" s="49">
        <v>41183</v>
      </c>
      <c r="C10" s="50">
        <v>0.59652777777777777</v>
      </c>
      <c r="D10" s="20">
        <v>21</v>
      </c>
    </row>
    <row r="11" spans="2:4" x14ac:dyDescent="0.25">
      <c r="B11" s="49">
        <v>41183</v>
      </c>
      <c r="C11" s="50">
        <v>0.60972222222222217</v>
      </c>
      <c r="D11" s="20">
        <v>62</v>
      </c>
    </row>
    <row r="12" spans="2:4" x14ac:dyDescent="0.25">
      <c r="B12" s="49">
        <v>41183</v>
      </c>
      <c r="C12" s="50">
        <v>0.62777777777777777</v>
      </c>
      <c r="D12" s="20">
        <v>1181</v>
      </c>
    </row>
    <row r="13" spans="2:4" x14ac:dyDescent="0.25">
      <c r="B13" s="49">
        <v>41183</v>
      </c>
      <c r="C13" s="50">
        <v>0.67083333333333339</v>
      </c>
      <c r="D13" s="20">
        <v>90</v>
      </c>
    </row>
    <row r="14" spans="2:4" x14ac:dyDescent="0.25">
      <c r="B14" s="49">
        <v>41183</v>
      </c>
      <c r="C14" s="50">
        <v>0.67222222222222217</v>
      </c>
      <c r="D14" s="20">
        <v>46</v>
      </c>
    </row>
    <row r="15" spans="2:4" x14ac:dyDescent="0.25">
      <c r="B15" s="49">
        <v>41183</v>
      </c>
      <c r="C15" s="50">
        <v>0.68958333333333333</v>
      </c>
      <c r="D15" s="20">
        <v>476</v>
      </c>
    </row>
    <row r="16" spans="2:4" x14ac:dyDescent="0.25">
      <c r="B16" s="49">
        <v>41183</v>
      </c>
      <c r="C16" s="50">
        <v>0.72222222222222221</v>
      </c>
      <c r="D16" s="20">
        <v>88</v>
      </c>
    </row>
    <row r="17" spans="2:4" x14ac:dyDescent="0.25">
      <c r="B17" s="49">
        <v>41183</v>
      </c>
      <c r="C17" s="50">
        <v>0.72499999999999998</v>
      </c>
      <c r="D17" s="20">
        <v>1414</v>
      </c>
    </row>
    <row r="18" spans="2:4" x14ac:dyDescent="0.25">
      <c r="B18" s="49">
        <v>41183</v>
      </c>
      <c r="C18" s="50">
        <v>0.77430555555555547</v>
      </c>
      <c r="D18" s="20">
        <v>365</v>
      </c>
    </row>
    <row r="19" spans="2:4" x14ac:dyDescent="0.25">
      <c r="B19" s="49">
        <v>41183</v>
      </c>
      <c r="C19" s="50">
        <v>0.77638888888888891</v>
      </c>
      <c r="D19" s="20">
        <v>2311</v>
      </c>
    </row>
    <row r="20" spans="2:4" x14ac:dyDescent="0.25">
      <c r="B20" s="49">
        <v>41183</v>
      </c>
      <c r="C20" s="50">
        <v>0.78194444444444444</v>
      </c>
      <c r="D20" s="20">
        <v>34</v>
      </c>
    </row>
    <row r="21" spans="2:4" x14ac:dyDescent="0.25">
      <c r="B21" s="49">
        <v>41184</v>
      </c>
      <c r="C21" s="50">
        <v>0.4777777777777778</v>
      </c>
      <c r="D21" s="20">
        <v>2040</v>
      </c>
    </row>
    <row r="22" spans="2:4" x14ac:dyDescent="0.25">
      <c r="B22" s="49">
        <v>41184</v>
      </c>
      <c r="C22" s="50">
        <v>0.5131944444444444</v>
      </c>
      <c r="D22" s="20">
        <v>4104</v>
      </c>
    </row>
    <row r="23" spans="2:4" x14ac:dyDescent="0.25">
      <c r="B23" s="49">
        <v>41184</v>
      </c>
      <c r="C23" s="50">
        <v>0.53680555555555554</v>
      </c>
      <c r="D23" s="20">
        <v>3069</v>
      </c>
    </row>
    <row r="24" spans="2:4" x14ac:dyDescent="0.25">
      <c r="B24" s="49">
        <v>41184</v>
      </c>
      <c r="C24" s="50">
        <v>0.55208333333333337</v>
      </c>
      <c r="D24" s="20">
        <v>2361</v>
      </c>
    </row>
    <row r="25" spans="2:4" x14ac:dyDescent="0.25">
      <c r="B25" s="49">
        <v>41184</v>
      </c>
      <c r="C25" s="50">
        <v>0.5708333333333333</v>
      </c>
      <c r="D25" s="20">
        <v>4071</v>
      </c>
    </row>
    <row r="26" spans="2:4" x14ac:dyDescent="0.25">
      <c r="B26" s="49">
        <v>41184</v>
      </c>
      <c r="C26" s="50">
        <v>0.58680555555555558</v>
      </c>
      <c r="D26" s="20">
        <v>4038</v>
      </c>
    </row>
    <row r="27" spans="2:4" x14ac:dyDescent="0.25">
      <c r="B27" s="49">
        <v>41184</v>
      </c>
      <c r="C27" s="50">
        <v>0.61458333333333337</v>
      </c>
      <c r="D27" s="20">
        <v>3054</v>
      </c>
    </row>
    <row r="28" spans="2:4" x14ac:dyDescent="0.25">
      <c r="B28" s="49">
        <v>41184</v>
      </c>
      <c r="C28" s="50">
        <v>0.63263888888888886</v>
      </c>
      <c r="D28" s="20">
        <v>186</v>
      </c>
    </row>
    <row r="29" spans="2:4" x14ac:dyDescent="0.25">
      <c r="B29" s="49">
        <v>41184</v>
      </c>
      <c r="C29" s="50">
        <v>0.6791666666666667</v>
      </c>
      <c r="D29" s="20">
        <v>4037</v>
      </c>
    </row>
    <row r="30" spans="2:4" x14ac:dyDescent="0.25">
      <c r="B30" s="49">
        <v>41184</v>
      </c>
      <c r="C30" s="50">
        <v>0.72083333333333333</v>
      </c>
      <c r="D30" s="20">
        <v>4083</v>
      </c>
    </row>
    <row r="31" spans="2:4" x14ac:dyDescent="0.25">
      <c r="B31" s="49">
        <v>41184</v>
      </c>
      <c r="C31" s="50">
        <v>0.77013888888888893</v>
      </c>
      <c r="D31" s="20">
        <v>4014</v>
      </c>
    </row>
    <row r="32" spans="2:4" x14ac:dyDescent="0.25">
      <c r="B32" s="49">
        <v>41184</v>
      </c>
      <c r="C32" s="50">
        <v>0.79861111111111116</v>
      </c>
      <c r="D32" s="20">
        <v>71</v>
      </c>
    </row>
    <row r="33" spans="2:4" x14ac:dyDescent="0.25">
      <c r="B33" s="49">
        <v>41184</v>
      </c>
      <c r="C33" s="50">
        <v>0.87013888888888891</v>
      </c>
      <c r="D33" s="20">
        <v>10</v>
      </c>
    </row>
    <row r="34" spans="2:4" x14ac:dyDescent="0.25">
      <c r="B34" s="49">
        <v>41184</v>
      </c>
      <c r="C34" s="50">
        <v>0.87986111111111109</v>
      </c>
      <c r="D34" s="20">
        <v>1260</v>
      </c>
    </row>
    <row r="35" spans="2:4" x14ac:dyDescent="0.25">
      <c r="B35" s="49">
        <v>41184</v>
      </c>
      <c r="C35" s="50">
        <v>0.88194444444444453</v>
      </c>
      <c r="D35" s="20">
        <v>97</v>
      </c>
    </row>
    <row r="36" spans="2:4" x14ac:dyDescent="0.25">
      <c r="B36" s="49">
        <v>41184</v>
      </c>
      <c r="C36" s="50">
        <v>0.8930555555555556</v>
      </c>
      <c r="D36" s="20">
        <v>1119</v>
      </c>
    </row>
    <row r="37" spans="2:4" x14ac:dyDescent="0.25">
      <c r="B37" s="49">
        <v>41184</v>
      </c>
      <c r="C37" s="50">
        <v>0.91388888888888886</v>
      </c>
      <c r="D37" s="20">
        <v>88</v>
      </c>
    </row>
    <row r="38" spans="2:4" x14ac:dyDescent="0.25">
      <c r="B38" s="49">
        <v>41185</v>
      </c>
      <c r="C38" s="50">
        <v>0.47986111111111113</v>
      </c>
      <c r="D38" s="20">
        <v>361</v>
      </c>
    </row>
    <row r="39" spans="2:4" x14ac:dyDescent="0.25">
      <c r="B39" s="49">
        <v>41185</v>
      </c>
      <c r="C39" s="50">
        <v>0.50763888888888886</v>
      </c>
      <c r="D39" s="20">
        <v>332</v>
      </c>
    </row>
    <row r="40" spans="2:4" x14ac:dyDescent="0.25">
      <c r="B40" s="49">
        <v>41185</v>
      </c>
      <c r="C40" s="50">
        <v>0.55347222222222225</v>
      </c>
      <c r="D40" s="20">
        <v>40</v>
      </c>
    </row>
    <row r="41" spans="2:4" x14ac:dyDescent="0.25">
      <c r="B41" s="49">
        <v>41185</v>
      </c>
      <c r="C41" s="50">
        <v>0.59583333333333333</v>
      </c>
      <c r="D41" s="20">
        <v>328</v>
      </c>
    </row>
    <row r="42" spans="2:4" x14ac:dyDescent="0.25">
      <c r="B42" s="49">
        <v>41185</v>
      </c>
      <c r="C42" s="50">
        <v>0.62847222222222221</v>
      </c>
      <c r="D42" s="20">
        <v>1435</v>
      </c>
    </row>
    <row r="43" spans="2:4" x14ac:dyDescent="0.25">
      <c r="B43" s="49">
        <v>41185</v>
      </c>
      <c r="C43" s="50">
        <v>0.64374999999999993</v>
      </c>
      <c r="D43" s="20">
        <v>2382</v>
      </c>
    </row>
    <row r="44" spans="2:4" x14ac:dyDescent="0.25">
      <c r="B44" s="49">
        <v>41185</v>
      </c>
      <c r="C44" s="50">
        <v>0.65</v>
      </c>
      <c r="D44" s="20">
        <v>62</v>
      </c>
    </row>
    <row r="45" spans="2:4" x14ac:dyDescent="0.25">
      <c r="B45" s="49">
        <v>41185</v>
      </c>
      <c r="C45" s="50">
        <v>0.65486111111111112</v>
      </c>
      <c r="D45" s="20">
        <v>25</v>
      </c>
    </row>
    <row r="46" spans="2:4" x14ac:dyDescent="0.25">
      <c r="B46" s="49">
        <v>41185</v>
      </c>
      <c r="C46" s="50">
        <v>0.65902777777777777</v>
      </c>
      <c r="D46" s="20">
        <v>2006</v>
      </c>
    </row>
    <row r="47" spans="2:4" x14ac:dyDescent="0.25">
      <c r="B47" s="49">
        <v>41185</v>
      </c>
      <c r="C47" s="50">
        <v>0.67986111111111114</v>
      </c>
      <c r="D47" s="20">
        <v>4033</v>
      </c>
    </row>
    <row r="48" spans="2:4" x14ac:dyDescent="0.25">
      <c r="B48" s="49">
        <v>41185</v>
      </c>
      <c r="C48" s="50">
        <v>0.69652777777777775</v>
      </c>
      <c r="D48" s="20">
        <v>86</v>
      </c>
    </row>
    <row r="49" spans="2:4" x14ac:dyDescent="0.25">
      <c r="B49" s="49">
        <v>41185</v>
      </c>
      <c r="C49" s="50">
        <v>0.7090277777777777</v>
      </c>
      <c r="D49" s="20">
        <v>1091</v>
      </c>
    </row>
    <row r="50" spans="2:4" x14ac:dyDescent="0.25">
      <c r="B50" s="49">
        <v>41185</v>
      </c>
      <c r="C50" s="50">
        <v>0.72013888888888899</v>
      </c>
      <c r="D50" s="20">
        <v>88</v>
      </c>
    </row>
    <row r="51" spans="2:4" x14ac:dyDescent="0.25">
      <c r="B51" s="49">
        <v>41185</v>
      </c>
      <c r="C51" s="50">
        <v>0.77708333333333324</v>
      </c>
      <c r="D51" s="20">
        <v>3284</v>
      </c>
    </row>
    <row r="52" spans="2:4" x14ac:dyDescent="0.25">
      <c r="B52" s="49">
        <v>41185</v>
      </c>
      <c r="C52" s="50">
        <v>0.79652777777777783</v>
      </c>
      <c r="D52" s="20">
        <v>46</v>
      </c>
    </row>
    <row r="53" spans="2:4" x14ac:dyDescent="0.25">
      <c r="B53" s="49">
        <v>41185</v>
      </c>
      <c r="C53" s="50">
        <v>0.87430555555555556</v>
      </c>
      <c r="D53" s="20">
        <v>2060</v>
      </c>
    </row>
    <row r="54" spans="2:4" x14ac:dyDescent="0.25">
      <c r="B54" s="49">
        <v>41185</v>
      </c>
      <c r="C54" s="50">
        <v>0.89097222222222217</v>
      </c>
      <c r="D54" s="20">
        <v>4083</v>
      </c>
    </row>
    <row r="55" spans="2:4" x14ac:dyDescent="0.25">
      <c r="B55" s="49">
        <v>41185</v>
      </c>
      <c r="C55" s="50">
        <v>0.89861111111111114</v>
      </c>
      <c r="D55" s="20">
        <v>1485</v>
      </c>
    </row>
    <row r="56" spans="2:4" x14ac:dyDescent="0.25">
      <c r="B56" s="49">
        <v>41185</v>
      </c>
      <c r="C56" s="50">
        <v>0.90277777777777779</v>
      </c>
      <c r="D56" s="20">
        <v>2380</v>
      </c>
    </row>
    <row r="57" spans="2:4" x14ac:dyDescent="0.25">
      <c r="B57" s="49">
        <v>41185</v>
      </c>
      <c r="C57" s="50">
        <v>0.91805555555555562</v>
      </c>
      <c r="D57" s="20">
        <v>55</v>
      </c>
    </row>
    <row r="58" spans="2:4" x14ac:dyDescent="0.25">
      <c r="B58" s="49">
        <v>41185</v>
      </c>
      <c r="C58" s="50">
        <v>0.93819444444444444</v>
      </c>
      <c r="D58" s="20">
        <v>3357</v>
      </c>
    </row>
    <row r="59" spans="2:4" x14ac:dyDescent="0.25">
      <c r="B59" s="49">
        <v>41185</v>
      </c>
      <c r="C59" s="50">
        <v>0.95347222222222217</v>
      </c>
      <c r="D59" s="20">
        <v>11</v>
      </c>
    </row>
    <row r="60" spans="2:4" x14ac:dyDescent="0.25">
      <c r="B60" s="49">
        <v>41186</v>
      </c>
      <c r="C60" s="50">
        <v>0.47986111111111113</v>
      </c>
      <c r="D60" s="20">
        <v>3449</v>
      </c>
    </row>
    <row r="61" spans="2:4" x14ac:dyDescent="0.25">
      <c r="B61" s="49">
        <v>41186</v>
      </c>
      <c r="C61" s="50">
        <v>0.52222222222222225</v>
      </c>
      <c r="D61" s="20">
        <v>4226</v>
      </c>
    </row>
    <row r="62" spans="2:4" x14ac:dyDescent="0.25">
      <c r="B62" s="49">
        <v>41186</v>
      </c>
      <c r="C62" s="50">
        <v>0.54375000000000007</v>
      </c>
      <c r="D62" s="20">
        <v>443</v>
      </c>
    </row>
    <row r="63" spans="2:4" x14ac:dyDescent="0.25">
      <c r="B63" s="49">
        <v>41186</v>
      </c>
      <c r="C63" s="50">
        <v>0.59166666666666667</v>
      </c>
      <c r="D63" s="20">
        <v>88</v>
      </c>
    </row>
    <row r="64" spans="2:4" x14ac:dyDescent="0.25">
      <c r="B64" s="49">
        <v>41186</v>
      </c>
      <c r="C64" s="50">
        <v>0.62569444444444444</v>
      </c>
      <c r="D64" s="20">
        <v>93</v>
      </c>
    </row>
    <row r="65" spans="2:4" x14ac:dyDescent="0.25">
      <c r="B65" s="49">
        <v>41186</v>
      </c>
      <c r="C65" s="50">
        <v>0.65763888888888888</v>
      </c>
      <c r="D65" s="20">
        <v>240</v>
      </c>
    </row>
    <row r="66" spans="2:4" x14ac:dyDescent="0.25">
      <c r="B66" s="49">
        <v>41186</v>
      </c>
      <c r="C66" s="50">
        <v>0.67847222222222225</v>
      </c>
      <c r="D66" s="20">
        <v>72</v>
      </c>
    </row>
    <row r="67" spans="2:4" x14ac:dyDescent="0.25">
      <c r="B67" s="49">
        <v>41186</v>
      </c>
      <c r="C67" s="50">
        <v>0.73958333333333337</v>
      </c>
      <c r="D67" s="20">
        <v>4072</v>
      </c>
    </row>
    <row r="68" spans="2:4" x14ac:dyDescent="0.25">
      <c r="B68" s="49">
        <v>41186</v>
      </c>
      <c r="C68" s="50">
        <v>0.78472222222222221</v>
      </c>
      <c r="D68" s="20">
        <v>224</v>
      </c>
    </row>
    <row r="69" spans="2:4" x14ac:dyDescent="0.25">
      <c r="B69" s="49">
        <v>41186</v>
      </c>
      <c r="C69" s="50">
        <v>0.8256944444444444</v>
      </c>
      <c r="D69" s="20">
        <v>268</v>
      </c>
    </row>
    <row r="70" spans="2:4" x14ac:dyDescent="0.25">
      <c r="B70" s="49">
        <v>41186</v>
      </c>
      <c r="C70" s="50">
        <v>0.86944444444444446</v>
      </c>
      <c r="D70" s="20">
        <v>378</v>
      </c>
    </row>
    <row r="71" spans="2:4" x14ac:dyDescent="0.25">
      <c r="B71" s="49">
        <v>41186</v>
      </c>
      <c r="C71" s="50">
        <v>0.87986111111111109</v>
      </c>
      <c r="D71" s="20">
        <v>4244</v>
      </c>
    </row>
    <row r="72" spans="2:4" x14ac:dyDescent="0.25">
      <c r="B72" s="49">
        <v>41186</v>
      </c>
      <c r="C72" s="50">
        <v>0.93819444444444444</v>
      </c>
      <c r="D72" s="20">
        <v>400</v>
      </c>
    </row>
    <row r="73" spans="2:4" x14ac:dyDescent="0.25">
      <c r="B73" s="49">
        <v>41186</v>
      </c>
      <c r="C73" s="50">
        <v>0.95624999999999993</v>
      </c>
      <c r="D73" s="20">
        <v>59</v>
      </c>
    </row>
    <row r="74" spans="2:4" x14ac:dyDescent="0.25">
      <c r="B74" s="49">
        <v>41186</v>
      </c>
      <c r="C74" s="50">
        <v>0.95972222222222225</v>
      </c>
      <c r="D74" s="20">
        <v>22</v>
      </c>
    </row>
    <row r="75" spans="2:4" x14ac:dyDescent="0.25">
      <c r="B75" s="49">
        <v>41186</v>
      </c>
      <c r="C75" s="50">
        <v>0.9604166666666667</v>
      </c>
      <c r="D75" s="20">
        <v>4037</v>
      </c>
    </row>
    <row r="76" spans="2:4" x14ac:dyDescent="0.25">
      <c r="B76" s="49">
        <v>41186</v>
      </c>
      <c r="C76" s="50">
        <v>0.97083333333333333</v>
      </c>
      <c r="D76" s="20">
        <v>3061</v>
      </c>
    </row>
    <row r="77" spans="2:4" x14ac:dyDescent="0.25">
      <c r="B77" s="49">
        <v>41186</v>
      </c>
      <c r="C77" s="50">
        <v>0.98333333333333339</v>
      </c>
      <c r="D77" s="20">
        <v>1388</v>
      </c>
    </row>
    <row r="78" spans="2:4" x14ac:dyDescent="0.25">
      <c r="B78" s="49">
        <v>41186</v>
      </c>
      <c r="C78" s="50">
        <v>1.007638888888889</v>
      </c>
      <c r="D78" s="20">
        <v>245</v>
      </c>
    </row>
    <row r="79" spans="2:4" x14ac:dyDescent="0.25">
      <c r="B79" s="49">
        <v>41186</v>
      </c>
      <c r="C79" s="50">
        <v>1.0340277777777778</v>
      </c>
      <c r="D79" s="20">
        <v>4002</v>
      </c>
    </row>
    <row r="80" spans="2:4" x14ac:dyDescent="0.25">
      <c r="B80" s="49">
        <v>41186</v>
      </c>
      <c r="C80" s="50">
        <v>1.0826388888888889</v>
      </c>
      <c r="D80" s="20">
        <v>2066</v>
      </c>
    </row>
    <row r="81" spans="2:4" x14ac:dyDescent="0.25">
      <c r="B81" s="49">
        <v>41186</v>
      </c>
      <c r="C81" s="50">
        <v>1.0951388888888889</v>
      </c>
      <c r="D81" s="20">
        <v>4492</v>
      </c>
    </row>
    <row r="82" spans="2:4" x14ac:dyDescent="0.25">
      <c r="B82" s="49">
        <v>41186</v>
      </c>
      <c r="C82" s="50">
        <v>1.1020833333333333</v>
      </c>
      <c r="D82" s="20">
        <v>1232</v>
      </c>
    </row>
    <row r="83" spans="2:4" x14ac:dyDescent="0.25">
      <c r="B83" s="49">
        <v>41186</v>
      </c>
      <c r="C83" s="50">
        <v>1.1180555555555556</v>
      </c>
      <c r="D83" s="20">
        <v>3089</v>
      </c>
    </row>
    <row r="84" spans="2:4" x14ac:dyDescent="0.25">
      <c r="B84" s="49">
        <v>41186</v>
      </c>
      <c r="C84" s="50">
        <v>1.1270833333333334</v>
      </c>
      <c r="D84" s="20">
        <v>4263</v>
      </c>
    </row>
    <row r="85" spans="2:4" x14ac:dyDescent="0.25">
      <c r="B85" s="49">
        <v>41186</v>
      </c>
      <c r="C85" s="50">
        <v>1.1416666666666666</v>
      </c>
      <c r="D85" s="20">
        <v>346</v>
      </c>
    </row>
    <row r="86" spans="2:4" x14ac:dyDescent="0.25">
      <c r="B86" s="49">
        <v>41186</v>
      </c>
      <c r="C86" s="50">
        <v>1.1527777777777779</v>
      </c>
      <c r="D86" s="20">
        <v>56</v>
      </c>
    </row>
    <row r="87" spans="2:4" x14ac:dyDescent="0.25">
      <c r="B87" s="49">
        <v>41186</v>
      </c>
      <c r="C87" s="50">
        <v>1.2055555555555555</v>
      </c>
      <c r="D87" s="20">
        <v>79</v>
      </c>
    </row>
    <row r="88" spans="2:4" x14ac:dyDescent="0.25">
      <c r="B88" s="49">
        <v>41187</v>
      </c>
      <c r="C88" s="50">
        <v>0.41875000000000001</v>
      </c>
      <c r="D88" s="20">
        <v>2096</v>
      </c>
    </row>
    <row r="89" spans="2:4" x14ac:dyDescent="0.25">
      <c r="B89" s="49">
        <v>41187</v>
      </c>
      <c r="C89" s="50">
        <v>0.42708333333333331</v>
      </c>
      <c r="D89" s="20">
        <v>2459</v>
      </c>
    </row>
    <row r="90" spans="2:4" x14ac:dyDescent="0.25">
      <c r="B90" s="49">
        <v>41187</v>
      </c>
      <c r="C90" s="50">
        <v>0.45902777777777781</v>
      </c>
      <c r="D90" s="20">
        <v>132</v>
      </c>
    </row>
    <row r="91" spans="2:4" x14ac:dyDescent="0.25">
      <c r="B91" s="49">
        <v>41187</v>
      </c>
      <c r="C91" s="50">
        <v>0.48055555555555557</v>
      </c>
      <c r="D91" s="20">
        <v>4239</v>
      </c>
    </row>
    <row r="92" spans="2:4" x14ac:dyDescent="0.25">
      <c r="B92" s="49">
        <v>41187</v>
      </c>
      <c r="C92" s="50">
        <v>0.50624999999999998</v>
      </c>
      <c r="D92" s="20">
        <v>1491</v>
      </c>
    </row>
    <row r="93" spans="2:4" x14ac:dyDescent="0.25">
      <c r="B93" s="49">
        <v>41187</v>
      </c>
      <c r="C93" s="50">
        <v>0.51736111111111105</v>
      </c>
      <c r="D93" s="20">
        <v>114</v>
      </c>
    </row>
    <row r="94" spans="2:4" x14ac:dyDescent="0.25">
      <c r="B94" s="49">
        <v>41187</v>
      </c>
      <c r="C94" s="50">
        <v>0.51874999999999993</v>
      </c>
      <c r="D94" s="20">
        <v>4016</v>
      </c>
    </row>
    <row r="95" spans="2:4" x14ac:dyDescent="0.25">
      <c r="B95" s="49">
        <v>41187</v>
      </c>
      <c r="C95" s="50">
        <v>0.53888888888888886</v>
      </c>
      <c r="D95" s="20">
        <v>3188</v>
      </c>
    </row>
    <row r="96" spans="2:4" x14ac:dyDescent="0.25">
      <c r="B96" s="49">
        <v>41187</v>
      </c>
      <c r="C96" s="50">
        <v>0.54375000000000007</v>
      </c>
      <c r="D96" s="20">
        <v>3290</v>
      </c>
    </row>
    <row r="97" spans="2:4" x14ac:dyDescent="0.25">
      <c r="B97" s="49">
        <v>41187</v>
      </c>
      <c r="C97" s="50">
        <v>0.55694444444444446</v>
      </c>
      <c r="D97" s="20">
        <v>2293</v>
      </c>
    </row>
    <row r="98" spans="2:4" x14ac:dyDescent="0.25">
      <c r="B98" s="49">
        <v>41187</v>
      </c>
      <c r="C98" s="50">
        <v>0.58472222222222225</v>
      </c>
      <c r="D98" s="20">
        <v>319</v>
      </c>
    </row>
    <row r="99" spans="2:4" x14ac:dyDescent="0.25">
      <c r="B99" s="49">
        <v>41187</v>
      </c>
      <c r="C99" s="50">
        <v>0.59305555555555556</v>
      </c>
      <c r="D99" s="20">
        <v>262</v>
      </c>
    </row>
    <row r="100" spans="2:4" x14ac:dyDescent="0.25">
      <c r="B100" s="49">
        <v>41187</v>
      </c>
      <c r="C100" s="50">
        <v>0.62638888888888888</v>
      </c>
      <c r="D100" s="20">
        <v>2054</v>
      </c>
    </row>
    <row r="101" spans="2:4" x14ac:dyDescent="0.25">
      <c r="B101" s="49">
        <v>41187</v>
      </c>
      <c r="C101" s="50">
        <v>0.68333333333333324</v>
      </c>
      <c r="D101" s="20">
        <v>6</v>
      </c>
    </row>
    <row r="102" spans="2:4" x14ac:dyDescent="0.25">
      <c r="B102" s="49">
        <v>41187</v>
      </c>
      <c r="C102" s="50">
        <v>0.6875</v>
      </c>
      <c r="D102" s="20">
        <v>308</v>
      </c>
    </row>
    <row r="103" spans="2:4" x14ac:dyDescent="0.25">
      <c r="B103" s="49">
        <v>41187</v>
      </c>
      <c r="C103" s="50">
        <v>0.70000000000000007</v>
      </c>
      <c r="D103" s="20">
        <v>4424</v>
      </c>
    </row>
    <row r="104" spans="2:4" x14ac:dyDescent="0.25">
      <c r="B104" s="49">
        <v>41187</v>
      </c>
      <c r="C104" s="50">
        <v>0.72569444444444453</v>
      </c>
      <c r="D104" s="20">
        <v>1328</v>
      </c>
    </row>
    <row r="105" spans="2:4" x14ac:dyDescent="0.25">
      <c r="B105" s="49">
        <v>41188</v>
      </c>
      <c r="C105" s="50">
        <v>0.4201388888888889</v>
      </c>
      <c r="D105" s="20">
        <v>464</v>
      </c>
    </row>
    <row r="106" spans="2:4" x14ac:dyDescent="0.25">
      <c r="B106" s="49">
        <v>41188</v>
      </c>
      <c r="C106" s="50">
        <v>0.48194444444444445</v>
      </c>
      <c r="D106" s="20">
        <v>16</v>
      </c>
    </row>
    <row r="107" spans="2:4" x14ac:dyDescent="0.25">
      <c r="B107" s="49">
        <v>41188</v>
      </c>
      <c r="C107" s="50">
        <v>0.49861111111111112</v>
      </c>
      <c r="D107" s="20">
        <v>224</v>
      </c>
    </row>
    <row r="108" spans="2:4" x14ac:dyDescent="0.25">
      <c r="B108" s="49">
        <v>41188</v>
      </c>
      <c r="C108" s="50">
        <v>0.4993055555555555</v>
      </c>
      <c r="D108" s="20">
        <v>268</v>
      </c>
    </row>
    <row r="109" spans="2:4" x14ac:dyDescent="0.25">
      <c r="B109" s="49">
        <v>41188</v>
      </c>
      <c r="C109" s="50">
        <v>0.51250000000000007</v>
      </c>
      <c r="D109" s="20">
        <v>26</v>
      </c>
    </row>
    <row r="110" spans="2:4" x14ac:dyDescent="0.25">
      <c r="B110" s="49">
        <v>41188</v>
      </c>
      <c r="C110" s="50">
        <v>0.5805555555555556</v>
      </c>
      <c r="D110" s="20">
        <v>2092</v>
      </c>
    </row>
    <row r="111" spans="2:4" x14ac:dyDescent="0.25">
      <c r="B111" s="49">
        <v>41188</v>
      </c>
      <c r="C111" s="50">
        <v>0.59861111111111109</v>
      </c>
      <c r="D111" s="20">
        <v>91</v>
      </c>
    </row>
    <row r="112" spans="2:4" x14ac:dyDescent="0.25">
      <c r="B112" s="49">
        <v>41188</v>
      </c>
      <c r="C112" s="50">
        <v>0.62013888888888891</v>
      </c>
      <c r="D112" s="20">
        <v>1013</v>
      </c>
    </row>
    <row r="113" spans="2:4" x14ac:dyDescent="0.25">
      <c r="B113" s="49">
        <v>41188</v>
      </c>
      <c r="C113" s="50">
        <v>0.63541666666666663</v>
      </c>
      <c r="D113" s="20">
        <v>3082</v>
      </c>
    </row>
    <row r="114" spans="2:4" x14ac:dyDescent="0.25">
      <c r="B114" s="49">
        <v>41188</v>
      </c>
      <c r="C114" s="50">
        <v>0.70138888888888884</v>
      </c>
      <c r="D114" s="20">
        <v>4</v>
      </c>
    </row>
    <row r="115" spans="2:4" x14ac:dyDescent="0.25">
      <c r="B115" s="49">
        <v>41188</v>
      </c>
      <c r="C115" s="50">
        <v>0.72222222222222221</v>
      </c>
      <c r="D115" s="20">
        <v>174</v>
      </c>
    </row>
    <row r="116" spans="2:4" x14ac:dyDescent="0.25">
      <c r="B116" s="49">
        <v>41188</v>
      </c>
      <c r="C116" s="50">
        <v>0.7319444444444444</v>
      </c>
      <c r="D116" s="20">
        <v>305</v>
      </c>
    </row>
    <row r="117" spans="2:4" x14ac:dyDescent="0.25">
      <c r="B117" s="49">
        <v>41188</v>
      </c>
      <c r="C117" s="50">
        <v>0.7402777777777777</v>
      </c>
      <c r="D117" s="20">
        <v>3031</v>
      </c>
    </row>
    <row r="118" spans="2:4" x14ac:dyDescent="0.25">
      <c r="B118" s="49">
        <v>41188</v>
      </c>
      <c r="C118" s="50">
        <v>0.76597222222222217</v>
      </c>
      <c r="D118" s="20">
        <v>185</v>
      </c>
    </row>
    <row r="119" spans="2:4" x14ac:dyDescent="0.25">
      <c r="B119" s="49">
        <v>41188</v>
      </c>
      <c r="C119" s="50">
        <v>0.7729166666666667</v>
      </c>
      <c r="D119" s="20">
        <v>4041</v>
      </c>
    </row>
    <row r="120" spans="2:4" x14ac:dyDescent="0.25">
      <c r="B120" s="49">
        <v>41188</v>
      </c>
      <c r="C120" s="50">
        <v>0.77916666666666667</v>
      </c>
      <c r="D120" s="20">
        <v>97</v>
      </c>
    </row>
    <row r="121" spans="2:4" x14ac:dyDescent="0.25">
      <c r="B121" s="49">
        <v>41188</v>
      </c>
      <c r="C121" s="50">
        <v>0.78194444444444444</v>
      </c>
      <c r="D121" s="20">
        <v>84</v>
      </c>
    </row>
    <row r="122" spans="2:4" x14ac:dyDescent="0.25">
      <c r="B122" s="49">
        <v>41188</v>
      </c>
      <c r="C122" s="50">
        <v>0.81805555555555554</v>
      </c>
      <c r="D122" s="20">
        <v>39</v>
      </c>
    </row>
    <row r="123" spans="2:4" x14ac:dyDescent="0.25">
      <c r="B123" s="49">
        <v>41188</v>
      </c>
      <c r="C123" s="50">
        <v>0.83124999999999993</v>
      </c>
      <c r="D123" s="20">
        <v>145</v>
      </c>
    </row>
    <row r="124" spans="2:4" x14ac:dyDescent="0.25">
      <c r="B124" s="49">
        <v>41188</v>
      </c>
      <c r="C124" s="50">
        <v>0.86319444444444438</v>
      </c>
      <c r="D124" s="20">
        <v>1064</v>
      </c>
    </row>
    <row r="125" spans="2:4" x14ac:dyDescent="0.25">
      <c r="B125" s="49">
        <v>41188</v>
      </c>
      <c r="C125" s="50">
        <v>0.86388888888888893</v>
      </c>
      <c r="D125" s="20">
        <v>438</v>
      </c>
    </row>
    <row r="126" spans="2:4" x14ac:dyDescent="0.25">
      <c r="B126" s="49">
        <v>41188</v>
      </c>
      <c r="C126" s="50">
        <v>0.87361111111111101</v>
      </c>
      <c r="D126" s="20">
        <v>304</v>
      </c>
    </row>
    <row r="127" spans="2:4" x14ac:dyDescent="0.25">
      <c r="B127" s="49">
        <v>41188</v>
      </c>
      <c r="C127" s="50">
        <v>0.8833333333333333</v>
      </c>
      <c r="D127" s="20">
        <v>2257</v>
      </c>
    </row>
    <row r="128" spans="2:4" x14ac:dyDescent="0.25">
      <c r="B128" s="49">
        <v>41188</v>
      </c>
      <c r="C128" s="50">
        <v>0.88402777777777775</v>
      </c>
      <c r="D128" s="20">
        <v>360</v>
      </c>
    </row>
    <row r="129" spans="2:4" x14ac:dyDescent="0.25">
      <c r="B129" s="49">
        <v>41188</v>
      </c>
      <c r="C129" s="50">
        <v>0.8930555555555556</v>
      </c>
      <c r="D129" s="20">
        <v>26</v>
      </c>
    </row>
    <row r="130" spans="2:4" x14ac:dyDescent="0.25">
      <c r="B130" s="49">
        <v>41188</v>
      </c>
      <c r="C130" s="50">
        <v>0.93472222222222223</v>
      </c>
      <c r="D130" s="20">
        <v>52</v>
      </c>
    </row>
    <row r="131" spans="2:4" x14ac:dyDescent="0.25">
      <c r="B131" s="49">
        <v>41188</v>
      </c>
      <c r="C131" s="50">
        <v>0.94791666666666663</v>
      </c>
      <c r="D131" s="20">
        <v>327</v>
      </c>
    </row>
    <row r="132" spans="2:4" x14ac:dyDescent="0.25">
      <c r="B132" s="49">
        <v>41188</v>
      </c>
      <c r="C132" s="50">
        <v>0.96944444444444444</v>
      </c>
      <c r="D132" s="20">
        <v>117</v>
      </c>
    </row>
    <row r="133" spans="2:4" x14ac:dyDescent="0.25">
      <c r="B133" s="49">
        <v>41188</v>
      </c>
      <c r="C133" s="50">
        <v>1.0090277777777776</v>
      </c>
      <c r="D133" s="20">
        <v>443</v>
      </c>
    </row>
    <row r="134" spans="2:4" x14ac:dyDescent="0.25">
      <c r="B134" s="49">
        <v>41188</v>
      </c>
      <c r="C134" s="50">
        <v>1.0104166666666667</v>
      </c>
      <c r="D134" s="20">
        <v>48</v>
      </c>
    </row>
    <row r="135" spans="2:4" x14ac:dyDescent="0.25">
      <c r="B135" s="49">
        <v>41188</v>
      </c>
      <c r="C135" s="50">
        <v>1.0145833333333334</v>
      </c>
      <c r="D135" s="20">
        <v>46</v>
      </c>
    </row>
    <row r="136" spans="2:4" x14ac:dyDescent="0.25">
      <c r="B136" s="49">
        <v>41188</v>
      </c>
      <c r="C136" s="50">
        <v>1.0319444444444443</v>
      </c>
      <c r="D136" s="20">
        <v>146</v>
      </c>
    </row>
    <row r="137" spans="2:4" x14ac:dyDescent="0.25">
      <c r="B137" s="49">
        <v>41188</v>
      </c>
      <c r="C137" s="50">
        <v>1.0534722222222224</v>
      </c>
      <c r="D137" s="20">
        <v>10</v>
      </c>
    </row>
    <row r="138" spans="2:4" x14ac:dyDescent="0.25">
      <c r="B138" s="49">
        <v>41188</v>
      </c>
      <c r="C138" s="50">
        <v>1.0562500000000001</v>
      </c>
      <c r="D138" s="20">
        <v>2044</v>
      </c>
    </row>
    <row r="139" spans="2:4" x14ac:dyDescent="0.25">
      <c r="B139" s="49">
        <v>41189</v>
      </c>
      <c r="C139" s="50">
        <v>0.33402777777777781</v>
      </c>
      <c r="D139" s="20">
        <v>4355</v>
      </c>
    </row>
    <row r="140" spans="2:4" x14ac:dyDescent="0.25">
      <c r="B140" s="49">
        <v>41189</v>
      </c>
      <c r="C140" s="50">
        <v>0.3347222222222222</v>
      </c>
      <c r="D140" s="20">
        <v>364</v>
      </c>
    </row>
    <row r="141" spans="2:4" x14ac:dyDescent="0.25">
      <c r="B141" s="49">
        <v>41189</v>
      </c>
      <c r="C141" s="50">
        <v>0.33749999999999997</v>
      </c>
      <c r="D141" s="20">
        <v>92</v>
      </c>
    </row>
    <row r="142" spans="2:4" x14ac:dyDescent="0.25">
      <c r="B142" s="49">
        <v>41189</v>
      </c>
      <c r="C142" s="50">
        <v>0.34236111111111112</v>
      </c>
      <c r="D142" s="20">
        <v>4441</v>
      </c>
    </row>
    <row r="143" spans="2:4" x14ac:dyDescent="0.25">
      <c r="B143" s="49">
        <v>41189</v>
      </c>
      <c r="C143" s="50">
        <v>0.34583333333333338</v>
      </c>
      <c r="D143" s="20">
        <v>45</v>
      </c>
    </row>
    <row r="144" spans="2:4" x14ac:dyDescent="0.25">
      <c r="B144" s="49">
        <v>41189</v>
      </c>
      <c r="C144" s="50">
        <v>0.34861111111111115</v>
      </c>
      <c r="D144" s="20">
        <v>293</v>
      </c>
    </row>
    <row r="145" spans="2:4" x14ac:dyDescent="0.25">
      <c r="B145" s="49">
        <v>41189</v>
      </c>
      <c r="C145" s="50">
        <v>0.35486111111111113</v>
      </c>
      <c r="D145" s="20">
        <v>40</v>
      </c>
    </row>
    <row r="146" spans="2:4" x14ac:dyDescent="0.25">
      <c r="B146" s="49">
        <v>41189</v>
      </c>
      <c r="C146" s="50">
        <v>0.39097222222222222</v>
      </c>
      <c r="D146" s="20">
        <v>45</v>
      </c>
    </row>
    <row r="147" spans="2:4" x14ac:dyDescent="0.25">
      <c r="B147" s="49">
        <v>41189</v>
      </c>
      <c r="C147" s="50">
        <v>0.3923611111111111</v>
      </c>
      <c r="D147" s="20">
        <v>2103</v>
      </c>
    </row>
    <row r="148" spans="2:4" x14ac:dyDescent="0.25">
      <c r="B148" s="49">
        <v>41189</v>
      </c>
      <c r="C148" s="50">
        <v>0.40208333333333335</v>
      </c>
      <c r="D148" s="20">
        <v>283</v>
      </c>
    </row>
    <row r="149" spans="2:4" x14ac:dyDescent="0.25">
      <c r="B149" s="49">
        <v>41189</v>
      </c>
      <c r="C149" s="50">
        <v>0.4291666666666667</v>
      </c>
      <c r="D149" s="20">
        <v>1097</v>
      </c>
    </row>
    <row r="150" spans="2:4" x14ac:dyDescent="0.25">
      <c r="B150" s="49">
        <v>41189</v>
      </c>
      <c r="C150" s="50">
        <v>0.44097222222222227</v>
      </c>
      <c r="D150" s="20">
        <v>331</v>
      </c>
    </row>
    <row r="151" spans="2:4" x14ac:dyDescent="0.25">
      <c r="B151" s="49">
        <v>41189</v>
      </c>
      <c r="C151" s="50">
        <v>0.4597222222222222</v>
      </c>
      <c r="D151" s="20">
        <v>17</v>
      </c>
    </row>
    <row r="152" spans="2:4" x14ac:dyDescent="0.25">
      <c r="B152" s="49">
        <v>41189</v>
      </c>
      <c r="C152" s="50">
        <v>0.50138888888888888</v>
      </c>
      <c r="D152" s="20">
        <v>2243</v>
      </c>
    </row>
    <row r="153" spans="2:4" x14ac:dyDescent="0.25">
      <c r="B153" s="49">
        <v>41189</v>
      </c>
      <c r="C153" s="50">
        <v>0.50486111111111109</v>
      </c>
      <c r="D153" s="20">
        <v>67</v>
      </c>
    </row>
    <row r="154" spans="2:4" x14ac:dyDescent="0.25">
      <c r="B154" s="49">
        <v>41189</v>
      </c>
      <c r="C154" s="50">
        <v>0.53402777777777777</v>
      </c>
      <c r="D154" s="20">
        <v>1095</v>
      </c>
    </row>
    <row r="155" spans="2:4" x14ac:dyDescent="0.25">
      <c r="B155" s="49">
        <v>41189</v>
      </c>
      <c r="C155" s="50">
        <v>0.55972222222222223</v>
      </c>
      <c r="D155" s="20">
        <v>15</v>
      </c>
    </row>
    <row r="156" spans="2:4" x14ac:dyDescent="0.25">
      <c r="B156" s="49">
        <v>41189</v>
      </c>
      <c r="C156" s="50">
        <v>0.57708333333333328</v>
      </c>
      <c r="D156" s="20">
        <v>4248</v>
      </c>
    </row>
    <row r="157" spans="2:4" x14ac:dyDescent="0.25">
      <c r="B157" s="49">
        <v>41189</v>
      </c>
      <c r="C157" s="50">
        <v>0.58263888888888882</v>
      </c>
      <c r="D157" s="20">
        <v>272</v>
      </c>
    </row>
    <row r="158" spans="2:4" x14ac:dyDescent="0.25">
      <c r="B158" s="49">
        <v>41189</v>
      </c>
      <c r="C158" s="50">
        <v>0.60347222222222219</v>
      </c>
      <c r="D158" s="20">
        <v>330</v>
      </c>
    </row>
    <row r="159" spans="2:4" x14ac:dyDescent="0.25">
      <c r="B159" s="49">
        <v>41189</v>
      </c>
      <c r="C159" s="50">
        <v>0.65555555555555556</v>
      </c>
      <c r="D159" s="20">
        <v>92</v>
      </c>
    </row>
    <row r="160" spans="2:4" x14ac:dyDescent="0.25">
      <c r="B160" s="49">
        <v>41189</v>
      </c>
      <c r="C160" s="50">
        <v>0.68958333333333333</v>
      </c>
      <c r="D160" s="20">
        <v>3496</v>
      </c>
    </row>
    <row r="161" spans="2:4" x14ac:dyDescent="0.25">
      <c r="B161" s="49">
        <v>41189</v>
      </c>
      <c r="C161" s="50">
        <v>0.69444444444444453</v>
      </c>
      <c r="D161" s="20">
        <v>2060</v>
      </c>
    </row>
    <row r="162" spans="2:4" x14ac:dyDescent="0.25">
      <c r="B162" s="49">
        <v>41189</v>
      </c>
      <c r="C162" s="50">
        <v>0.71805555555555556</v>
      </c>
      <c r="D162" s="20">
        <v>4052</v>
      </c>
    </row>
    <row r="163" spans="2:4" x14ac:dyDescent="0.25">
      <c r="B163" s="49">
        <v>41189</v>
      </c>
      <c r="C163" s="50">
        <v>0.71805555555555556</v>
      </c>
      <c r="D163" s="20">
        <v>64</v>
      </c>
    </row>
    <row r="164" spans="2:4" x14ac:dyDescent="0.25">
      <c r="B164" s="49">
        <v>41189</v>
      </c>
      <c r="C164" s="50">
        <v>0.72222222222222221</v>
      </c>
      <c r="D164" s="20">
        <v>29</v>
      </c>
    </row>
    <row r="165" spans="2:4" x14ac:dyDescent="0.25">
      <c r="B165" s="49">
        <v>41189</v>
      </c>
      <c r="C165" s="50">
        <v>0.72916666666666663</v>
      </c>
      <c r="D165" s="20">
        <v>0</v>
      </c>
    </row>
    <row r="166" spans="2:4" x14ac:dyDescent="0.25">
      <c r="B166" s="49">
        <v>41189</v>
      </c>
      <c r="C166" s="50">
        <v>0.78333333333333333</v>
      </c>
      <c r="D166" s="20">
        <v>95</v>
      </c>
    </row>
    <row r="167" spans="2:4" x14ac:dyDescent="0.25">
      <c r="B167" s="49">
        <v>41189</v>
      </c>
      <c r="C167" s="50">
        <v>0.82986111111111116</v>
      </c>
      <c r="D167" s="20">
        <v>11</v>
      </c>
    </row>
    <row r="168" spans="2:4" x14ac:dyDescent="0.25">
      <c r="B168" s="49">
        <v>41190</v>
      </c>
      <c r="C168" s="50">
        <v>0.30277777777777776</v>
      </c>
      <c r="D168" s="20">
        <v>424</v>
      </c>
    </row>
    <row r="169" spans="2:4" x14ac:dyDescent="0.25">
      <c r="B169" s="49">
        <v>41190</v>
      </c>
      <c r="C169" s="50">
        <v>0.31041666666666667</v>
      </c>
      <c r="D169" s="20">
        <v>2427</v>
      </c>
    </row>
    <row r="170" spans="2:4" x14ac:dyDescent="0.25">
      <c r="B170" s="49">
        <v>41190</v>
      </c>
      <c r="C170" s="50">
        <v>0.3576388888888889</v>
      </c>
      <c r="D170" s="20">
        <v>3099</v>
      </c>
    </row>
    <row r="171" spans="2:4" x14ac:dyDescent="0.25">
      <c r="B171" s="49">
        <v>41190</v>
      </c>
      <c r="C171" s="50">
        <v>0.38541666666666669</v>
      </c>
      <c r="D171" s="20">
        <v>34</v>
      </c>
    </row>
    <row r="172" spans="2:4" x14ac:dyDescent="0.25">
      <c r="B172" s="49">
        <v>41190</v>
      </c>
      <c r="C172" s="50">
        <v>0.40625</v>
      </c>
      <c r="D172" s="20">
        <v>1242</v>
      </c>
    </row>
    <row r="173" spans="2:4" x14ac:dyDescent="0.25">
      <c r="B173" s="49">
        <v>41190</v>
      </c>
      <c r="C173" s="50">
        <v>0.4375</v>
      </c>
      <c r="D173" s="20">
        <v>49</v>
      </c>
    </row>
    <row r="174" spans="2:4" x14ac:dyDescent="0.25">
      <c r="B174" s="49">
        <v>41190</v>
      </c>
      <c r="C174" s="50">
        <v>0.48194444444444445</v>
      </c>
      <c r="D174" s="20">
        <v>2076</v>
      </c>
    </row>
    <row r="175" spans="2:4" x14ac:dyDescent="0.25">
      <c r="B175" s="49">
        <v>41190</v>
      </c>
      <c r="C175" s="50">
        <v>0.52013888888888882</v>
      </c>
      <c r="D175" s="20">
        <v>39</v>
      </c>
    </row>
    <row r="176" spans="2:4" x14ac:dyDescent="0.25">
      <c r="B176" s="49">
        <v>41190</v>
      </c>
      <c r="C176" s="50">
        <v>0.5708333333333333</v>
      </c>
      <c r="D176" s="20">
        <v>54</v>
      </c>
    </row>
    <row r="177" spans="2:4" x14ac:dyDescent="0.25">
      <c r="B177" s="49">
        <v>41190</v>
      </c>
      <c r="C177" s="50">
        <v>0.61458333333333337</v>
      </c>
      <c r="D177" s="20">
        <v>357</v>
      </c>
    </row>
    <row r="178" spans="2:4" x14ac:dyDescent="0.25">
      <c r="B178" s="49">
        <v>41190</v>
      </c>
      <c r="C178" s="50">
        <v>0.66111111111111109</v>
      </c>
      <c r="D178" s="20">
        <v>88</v>
      </c>
    </row>
    <row r="179" spans="2:4" x14ac:dyDescent="0.25">
      <c r="B179" s="49">
        <v>41190</v>
      </c>
      <c r="C179" s="50">
        <v>0.67152777777777783</v>
      </c>
      <c r="D179" s="20">
        <v>166</v>
      </c>
    </row>
    <row r="180" spans="2:4" x14ac:dyDescent="0.25">
      <c r="B180" s="49">
        <v>41190</v>
      </c>
      <c r="C180" s="50">
        <v>0.70833333333333337</v>
      </c>
      <c r="D180" s="20">
        <v>1</v>
      </c>
    </row>
    <row r="181" spans="2:4" x14ac:dyDescent="0.25">
      <c r="B181" s="49">
        <v>41190</v>
      </c>
      <c r="C181" s="50">
        <v>0.7104166666666667</v>
      </c>
      <c r="D181" s="20">
        <v>187</v>
      </c>
    </row>
    <row r="182" spans="2:4" x14ac:dyDescent="0.25">
      <c r="B182" s="49">
        <v>41190</v>
      </c>
      <c r="C182" s="50">
        <v>0.75069444444444444</v>
      </c>
      <c r="D182" s="20">
        <v>156</v>
      </c>
    </row>
    <row r="183" spans="2:4" x14ac:dyDescent="0.25">
      <c r="B183" s="49">
        <v>41190</v>
      </c>
      <c r="C183" s="50">
        <v>0.76250000000000007</v>
      </c>
      <c r="D183" s="20">
        <v>2054</v>
      </c>
    </row>
    <row r="184" spans="2:4" x14ac:dyDescent="0.25">
      <c r="B184" s="49">
        <v>41190</v>
      </c>
      <c r="C184" s="50">
        <v>0.78263888888888899</v>
      </c>
      <c r="D184" s="20">
        <v>1007</v>
      </c>
    </row>
    <row r="185" spans="2:4" x14ac:dyDescent="0.25">
      <c r="B185" s="49">
        <v>41190</v>
      </c>
      <c r="C185" s="50">
        <v>0.78888888888888886</v>
      </c>
      <c r="D185" s="20">
        <v>205</v>
      </c>
    </row>
    <row r="186" spans="2:4" x14ac:dyDescent="0.25">
      <c r="B186" s="49">
        <v>41190</v>
      </c>
      <c r="C186" s="50">
        <v>0.80069444444444438</v>
      </c>
      <c r="D186" s="20">
        <v>1081</v>
      </c>
    </row>
    <row r="187" spans="2:4" x14ac:dyDescent="0.25">
      <c r="B187" s="49">
        <v>41190</v>
      </c>
      <c r="C187" s="50">
        <v>0.80486111111111114</v>
      </c>
      <c r="D187" s="20">
        <v>203</v>
      </c>
    </row>
    <row r="188" spans="2:4" x14ac:dyDescent="0.25">
      <c r="B188" s="49">
        <v>41190</v>
      </c>
      <c r="C188" s="50">
        <v>0.82291666666666663</v>
      </c>
      <c r="D188" s="20">
        <v>438</v>
      </c>
    </row>
    <row r="189" spans="2:4" x14ac:dyDescent="0.25">
      <c r="B189" s="49">
        <v>41190</v>
      </c>
      <c r="C189" s="50">
        <v>0.83958333333333324</v>
      </c>
      <c r="D189" s="20">
        <v>4021</v>
      </c>
    </row>
    <row r="190" spans="2:4" x14ac:dyDescent="0.25">
      <c r="B190" s="49">
        <v>41191</v>
      </c>
      <c r="C190" s="50">
        <v>0.51250000000000007</v>
      </c>
      <c r="D190" s="20">
        <v>4084</v>
      </c>
    </row>
    <row r="191" spans="2:4" x14ac:dyDescent="0.25">
      <c r="B191" s="49">
        <v>41191</v>
      </c>
      <c r="C191" s="50">
        <v>0.54999999999999993</v>
      </c>
      <c r="D191" s="20">
        <v>1290</v>
      </c>
    </row>
    <row r="192" spans="2:4" x14ac:dyDescent="0.25">
      <c r="B192" s="49">
        <v>41191</v>
      </c>
      <c r="C192" s="50">
        <v>0.57152777777777775</v>
      </c>
      <c r="D192" s="20">
        <v>2146</v>
      </c>
    </row>
    <row r="193" spans="2:4" x14ac:dyDescent="0.25">
      <c r="B193" s="49">
        <v>41191</v>
      </c>
      <c r="C193" s="50">
        <v>0.58819444444444446</v>
      </c>
      <c r="D193" s="20">
        <v>2050</v>
      </c>
    </row>
    <row r="194" spans="2:4" x14ac:dyDescent="0.25">
      <c r="B194" s="49">
        <v>41191</v>
      </c>
      <c r="C194" s="50">
        <v>0.58888888888888891</v>
      </c>
      <c r="D194" s="20">
        <v>2057</v>
      </c>
    </row>
    <row r="195" spans="2:4" x14ac:dyDescent="0.25">
      <c r="B195" s="49">
        <v>41191</v>
      </c>
      <c r="C195" s="50">
        <v>0.58888888888888891</v>
      </c>
      <c r="D195" s="20">
        <v>1087</v>
      </c>
    </row>
    <row r="196" spans="2:4" x14ac:dyDescent="0.25">
      <c r="B196" s="49">
        <v>41191</v>
      </c>
      <c r="C196" s="50">
        <v>0.59236111111111112</v>
      </c>
      <c r="D196" s="20">
        <v>3024</v>
      </c>
    </row>
    <row r="197" spans="2:4" x14ac:dyDescent="0.25">
      <c r="B197" s="49">
        <v>41191</v>
      </c>
      <c r="C197" s="50">
        <v>0.59513888888888888</v>
      </c>
      <c r="D197" s="20">
        <v>33</v>
      </c>
    </row>
    <row r="198" spans="2:4" x14ac:dyDescent="0.25">
      <c r="B198" s="49">
        <v>41191</v>
      </c>
      <c r="C198" s="50">
        <v>0.59583333333333333</v>
      </c>
      <c r="D198" s="20">
        <v>20</v>
      </c>
    </row>
    <row r="199" spans="2:4" x14ac:dyDescent="0.25">
      <c r="B199" s="49">
        <v>41191</v>
      </c>
      <c r="C199" s="50">
        <v>0.59652777777777777</v>
      </c>
      <c r="D199" s="20">
        <v>419</v>
      </c>
    </row>
    <row r="200" spans="2:4" x14ac:dyDescent="0.25">
      <c r="B200" s="49">
        <v>41191</v>
      </c>
      <c r="C200" s="50">
        <v>0.61458333333333337</v>
      </c>
      <c r="D200" s="20">
        <v>193</v>
      </c>
    </row>
    <row r="201" spans="2:4" x14ac:dyDescent="0.25">
      <c r="B201" s="49">
        <v>41191</v>
      </c>
      <c r="C201" s="50">
        <v>0.6166666666666667</v>
      </c>
      <c r="D201" s="20">
        <v>67</v>
      </c>
    </row>
    <row r="202" spans="2:4" x14ac:dyDescent="0.25">
      <c r="B202" s="49">
        <v>41191</v>
      </c>
      <c r="C202" s="50">
        <v>0.62013888888888891</v>
      </c>
      <c r="D202" s="20">
        <v>318</v>
      </c>
    </row>
    <row r="203" spans="2:4" x14ac:dyDescent="0.25">
      <c r="B203" s="49">
        <v>41191</v>
      </c>
      <c r="C203" s="50">
        <v>0.62986111111111109</v>
      </c>
      <c r="D203" s="20">
        <v>1017</v>
      </c>
    </row>
    <row r="204" spans="2:4" x14ac:dyDescent="0.25">
      <c r="B204" s="49">
        <v>41191</v>
      </c>
      <c r="C204" s="50">
        <v>0.67569444444444438</v>
      </c>
      <c r="D204" s="20">
        <v>38</v>
      </c>
    </row>
    <row r="205" spans="2:4" x14ac:dyDescent="0.25">
      <c r="B205" s="49">
        <v>41191</v>
      </c>
      <c r="C205" s="50">
        <v>0.6777777777777777</v>
      </c>
      <c r="D205" s="20">
        <v>76</v>
      </c>
    </row>
    <row r="206" spans="2:4" x14ac:dyDescent="0.25">
      <c r="B206" s="49">
        <v>41191</v>
      </c>
      <c r="C206" s="50">
        <v>0.69374999999999998</v>
      </c>
      <c r="D206" s="20">
        <v>3169</v>
      </c>
    </row>
    <row r="207" spans="2:4" x14ac:dyDescent="0.25">
      <c r="B207" s="49">
        <v>41191</v>
      </c>
      <c r="C207" s="50">
        <v>0.6958333333333333</v>
      </c>
      <c r="D207" s="20">
        <v>77</v>
      </c>
    </row>
    <row r="208" spans="2:4" x14ac:dyDescent="0.25">
      <c r="B208" s="49">
        <v>41191</v>
      </c>
      <c r="C208" s="50">
        <v>0.74583333333333324</v>
      </c>
      <c r="D208" s="20">
        <v>96</v>
      </c>
    </row>
    <row r="209" spans="2:4" x14ac:dyDescent="0.25">
      <c r="B209" s="49">
        <v>41191</v>
      </c>
      <c r="C209" s="50">
        <v>0.75555555555555554</v>
      </c>
      <c r="D209" s="20">
        <v>1070</v>
      </c>
    </row>
    <row r="210" spans="2:4" x14ac:dyDescent="0.25">
      <c r="B210" s="49">
        <v>41191</v>
      </c>
      <c r="C210" s="50">
        <v>0.75902777777777775</v>
      </c>
      <c r="D210" s="20">
        <v>9</v>
      </c>
    </row>
    <row r="211" spans="2:4" x14ac:dyDescent="0.25">
      <c r="B211" s="49">
        <v>41191</v>
      </c>
      <c r="C211" s="50">
        <v>0.75902777777777775</v>
      </c>
      <c r="D211" s="20">
        <v>37</v>
      </c>
    </row>
    <row r="212" spans="2:4" x14ac:dyDescent="0.25">
      <c r="B212" s="49">
        <v>41191</v>
      </c>
      <c r="C212" s="50">
        <v>0.81319444444444444</v>
      </c>
      <c r="D212" s="20">
        <v>19</v>
      </c>
    </row>
    <row r="213" spans="2:4" x14ac:dyDescent="0.25">
      <c r="B213" s="49">
        <v>41191</v>
      </c>
      <c r="C213" s="50">
        <v>0.82777777777777783</v>
      </c>
      <c r="D213" s="20">
        <v>2012</v>
      </c>
    </row>
    <row r="214" spans="2:4" x14ac:dyDescent="0.25">
      <c r="B214" s="49">
        <v>41191</v>
      </c>
      <c r="C214" s="50">
        <v>0.8569444444444444</v>
      </c>
      <c r="D214" s="20">
        <v>345</v>
      </c>
    </row>
    <row r="215" spans="2:4" x14ac:dyDescent="0.25">
      <c r="B215" s="49">
        <v>41191</v>
      </c>
      <c r="C215" s="50">
        <v>0.90902777777777777</v>
      </c>
      <c r="D215" s="20">
        <v>1193</v>
      </c>
    </row>
    <row r="216" spans="2:4" x14ac:dyDescent="0.25">
      <c r="B216" s="49">
        <v>41191</v>
      </c>
      <c r="C216" s="50">
        <v>0.92152777777777783</v>
      </c>
      <c r="D216" s="20">
        <v>3041</v>
      </c>
    </row>
    <row r="217" spans="2:4" x14ac:dyDescent="0.25">
      <c r="B217" s="49">
        <v>41192</v>
      </c>
      <c r="C217" s="50">
        <v>0.45624999999999999</v>
      </c>
      <c r="D217" s="20">
        <v>4180</v>
      </c>
    </row>
    <row r="218" spans="2:4" x14ac:dyDescent="0.25">
      <c r="B218" s="49">
        <v>41192</v>
      </c>
      <c r="C218" s="50">
        <v>0.46180555555555558</v>
      </c>
      <c r="D218" s="20">
        <v>88</v>
      </c>
    </row>
    <row r="219" spans="2:4" x14ac:dyDescent="0.25">
      <c r="B219" s="49">
        <v>41192</v>
      </c>
      <c r="C219" s="50">
        <v>0.46249999999999997</v>
      </c>
      <c r="D219" s="20">
        <v>37</v>
      </c>
    </row>
    <row r="220" spans="2:4" x14ac:dyDescent="0.25">
      <c r="B220" s="49">
        <v>41192</v>
      </c>
      <c r="C220" s="50">
        <v>0.4777777777777778</v>
      </c>
      <c r="D220" s="20">
        <v>3010</v>
      </c>
    </row>
    <row r="221" spans="2:4" x14ac:dyDescent="0.25">
      <c r="B221" s="49">
        <v>41192</v>
      </c>
      <c r="C221" s="50">
        <v>0.48402777777777778</v>
      </c>
      <c r="D221" s="20">
        <v>1044</v>
      </c>
    </row>
    <row r="222" spans="2:4" x14ac:dyDescent="0.25">
      <c r="B222" s="49">
        <v>41192</v>
      </c>
      <c r="C222" s="50">
        <v>0.48541666666666666</v>
      </c>
      <c r="D222" s="20">
        <v>3002</v>
      </c>
    </row>
    <row r="223" spans="2:4" x14ac:dyDescent="0.25">
      <c r="B223" s="49">
        <v>41192</v>
      </c>
      <c r="C223" s="50">
        <v>0.48749999999999999</v>
      </c>
      <c r="D223" s="20">
        <v>4071</v>
      </c>
    </row>
    <row r="224" spans="2:4" x14ac:dyDescent="0.25">
      <c r="B224" s="49">
        <v>41192</v>
      </c>
      <c r="C224" s="50">
        <v>0.51180555555555551</v>
      </c>
      <c r="D224" s="20">
        <v>4005</v>
      </c>
    </row>
    <row r="225" spans="2:4" x14ac:dyDescent="0.25">
      <c r="B225" s="49">
        <v>41192</v>
      </c>
      <c r="C225" s="50">
        <v>0.57638888888888895</v>
      </c>
      <c r="D225" s="20">
        <v>331</v>
      </c>
    </row>
    <row r="226" spans="2:4" x14ac:dyDescent="0.25">
      <c r="B226" s="49">
        <v>41192</v>
      </c>
      <c r="C226" s="50">
        <v>0.58333333333333337</v>
      </c>
      <c r="D226" s="20">
        <v>70</v>
      </c>
    </row>
    <row r="227" spans="2:4" x14ac:dyDescent="0.25">
      <c r="B227" s="49">
        <v>41192</v>
      </c>
      <c r="C227" s="50">
        <v>0.58958333333333335</v>
      </c>
      <c r="D227" s="20">
        <v>1034</v>
      </c>
    </row>
    <row r="228" spans="2:4" x14ac:dyDescent="0.25">
      <c r="B228" s="49">
        <v>41192</v>
      </c>
      <c r="C228" s="50">
        <v>0.61736111111111114</v>
      </c>
      <c r="D228" s="20">
        <v>21</v>
      </c>
    </row>
    <row r="229" spans="2:4" x14ac:dyDescent="0.25">
      <c r="B229" s="49">
        <v>41192</v>
      </c>
      <c r="C229" s="50">
        <v>0.6430555555555556</v>
      </c>
      <c r="D229" s="20">
        <v>1069</v>
      </c>
    </row>
    <row r="230" spans="2:4" x14ac:dyDescent="0.25">
      <c r="B230" s="49">
        <v>41192</v>
      </c>
      <c r="C230" s="50">
        <v>0.67083333333333339</v>
      </c>
      <c r="D230" s="20">
        <v>4066</v>
      </c>
    </row>
    <row r="231" spans="2:4" x14ac:dyDescent="0.25">
      <c r="B231" s="49">
        <v>41192</v>
      </c>
      <c r="C231" s="50">
        <v>0.68680555555555556</v>
      </c>
      <c r="D231" s="20">
        <v>2404</v>
      </c>
    </row>
    <row r="232" spans="2:4" x14ac:dyDescent="0.25">
      <c r="B232" s="49">
        <v>41192</v>
      </c>
      <c r="C232" s="50">
        <v>0.71666666666666667</v>
      </c>
      <c r="D232" s="20">
        <v>280</v>
      </c>
    </row>
    <row r="233" spans="2:4" x14ac:dyDescent="0.25">
      <c r="B233" s="49">
        <v>41192</v>
      </c>
      <c r="C233" s="50">
        <v>0.72986111111111107</v>
      </c>
      <c r="D233" s="20">
        <v>14</v>
      </c>
    </row>
    <row r="234" spans="2:4" x14ac:dyDescent="0.25">
      <c r="B234" s="49">
        <v>41192</v>
      </c>
      <c r="C234" s="50">
        <v>0.76874999999999993</v>
      </c>
      <c r="D234" s="20">
        <v>23</v>
      </c>
    </row>
    <row r="235" spans="2:4" x14ac:dyDescent="0.25">
      <c r="B235" s="49">
        <v>41192</v>
      </c>
      <c r="C235" s="50">
        <v>0.8208333333333333</v>
      </c>
      <c r="D235" s="20">
        <v>25</v>
      </c>
    </row>
    <row r="236" spans="2:4" x14ac:dyDescent="0.25">
      <c r="B236" s="49">
        <v>41192</v>
      </c>
      <c r="C236" s="50">
        <v>0.86249999999999993</v>
      </c>
      <c r="D236" s="20">
        <v>123</v>
      </c>
    </row>
    <row r="237" spans="2:4" x14ac:dyDescent="0.25">
      <c r="B237" s="49">
        <v>41192</v>
      </c>
      <c r="C237" s="50">
        <v>0.86805555555555547</v>
      </c>
      <c r="D237" s="20">
        <v>12</v>
      </c>
    </row>
    <row r="238" spans="2:4" x14ac:dyDescent="0.25">
      <c r="B238" s="49">
        <v>41192</v>
      </c>
      <c r="C238" s="50">
        <v>0.87916666666666676</v>
      </c>
      <c r="D238" s="20">
        <v>61</v>
      </c>
    </row>
    <row r="239" spans="2:4" x14ac:dyDescent="0.25">
      <c r="B239" s="49">
        <v>41192</v>
      </c>
      <c r="C239" s="50">
        <v>0.9</v>
      </c>
      <c r="D239" s="20">
        <v>48</v>
      </c>
    </row>
    <row r="240" spans="2:4" x14ac:dyDescent="0.25">
      <c r="B240" s="49">
        <v>41192</v>
      </c>
      <c r="C240" s="50">
        <v>0.95694444444444438</v>
      </c>
      <c r="D240" s="20">
        <v>4017</v>
      </c>
    </row>
    <row r="241" spans="2:4" x14ac:dyDescent="0.25">
      <c r="B241" s="49">
        <v>41192</v>
      </c>
      <c r="C241" s="50">
        <v>0.95833333333333337</v>
      </c>
      <c r="D241" s="20">
        <v>1067</v>
      </c>
    </row>
    <row r="242" spans="2:4" x14ac:dyDescent="0.25">
      <c r="B242" s="49">
        <v>41192</v>
      </c>
      <c r="C242" s="50">
        <v>0.95972222222222225</v>
      </c>
      <c r="D242" s="20">
        <v>32</v>
      </c>
    </row>
    <row r="243" spans="2:4" x14ac:dyDescent="0.25">
      <c r="B243" s="49">
        <v>41192</v>
      </c>
      <c r="C243" s="50">
        <v>0.96597222222222223</v>
      </c>
      <c r="D243" s="20">
        <v>350</v>
      </c>
    </row>
    <row r="244" spans="2:4" x14ac:dyDescent="0.25">
      <c r="B244" s="49">
        <v>41192</v>
      </c>
      <c r="C244" s="50">
        <v>0.97777777777777775</v>
      </c>
      <c r="D244" s="20">
        <v>3016</v>
      </c>
    </row>
    <row r="245" spans="2:4" x14ac:dyDescent="0.25">
      <c r="B245" s="49">
        <v>41192</v>
      </c>
      <c r="C245" s="50">
        <v>0.98749999999999993</v>
      </c>
      <c r="D245" s="20">
        <v>2300</v>
      </c>
    </row>
    <row r="246" spans="2:4" x14ac:dyDescent="0.25">
      <c r="B246" s="49">
        <v>41193</v>
      </c>
      <c r="C246" s="50">
        <v>0.29375000000000001</v>
      </c>
      <c r="D246" s="20">
        <v>50</v>
      </c>
    </row>
    <row r="247" spans="2:4" x14ac:dyDescent="0.25">
      <c r="B247" s="49">
        <v>41193</v>
      </c>
      <c r="C247" s="50">
        <v>0.35555555555555557</v>
      </c>
      <c r="D247" s="20">
        <v>27</v>
      </c>
    </row>
    <row r="248" spans="2:4" x14ac:dyDescent="0.25">
      <c r="B248" s="49">
        <v>41193</v>
      </c>
      <c r="C248" s="50">
        <v>0.38541666666666669</v>
      </c>
      <c r="D248" s="20">
        <v>1096</v>
      </c>
    </row>
    <row r="249" spans="2:4" x14ac:dyDescent="0.25">
      <c r="B249" s="49">
        <v>41193</v>
      </c>
      <c r="C249" s="50">
        <v>0.41944444444444445</v>
      </c>
      <c r="D249" s="20">
        <v>3458</v>
      </c>
    </row>
    <row r="250" spans="2:4" x14ac:dyDescent="0.25">
      <c r="B250" s="49">
        <v>41193</v>
      </c>
      <c r="C250" s="50">
        <v>0.45833333333333331</v>
      </c>
      <c r="D250" s="20">
        <v>210</v>
      </c>
    </row>
    <row r="251" spans="2:4" x14ac:dyDescent="0.25">
      <c r="B251" s="49">
        <v>41193</v>
      </c>
      <c r="C251" s="50">
        <v>0.48402777777777778</v>
      </c>
      <c r="D251" s="20">
        <v>1095</v>
      </c>
    </row>
    <row r="252" spans="2:4" x14ac:dyDescent="0.25">
      <c r="B252" s="49">
        <v>41193</v>
      </c>
      <c r="C252" s="50">
        <v>0.4861111111111111</v>
      </c>
      <c r="D252" s="20">
        <v>146</v>
      </c>
    </row>
    <row r="253" spans="2:4" x14ac:dyDescent="0.25">
      <c r="B253" s="49">
        <v>41193</v>
      </c>
      <c r="C253" s="50">
        <v>0.50624999999999998</v>
      </c>
      <c r="D253" s="20">
        <v>96</v>
      </c>
    </row>
    <row r="254" spans="2:4" x14ac:dyDescent="0.25">
      <c r="B254" s="49">
        <v>41193</v>
      </c>
      <c r="C254" s="50">
        <v>0.51388888888888895</v>
      </c>
      <c r="D254" s="20">
        <v>1043</v>
      </c>
    </row>
    <row r="255" spans="2:4" x14ac:dyDescent="0.25">
      <c r="B255" s="49">
        <v>41193</v>
      </c>
      <c r="C255" s="50">
        <v>0.52777777777777779</v>
      </c>
      <c r="D255" s="20">
        <v>206</v>
      </c>
    </row>
    <row r="256" spans="2:4" x14ac:dyDescent="0.25">
      <c r="B256" s="49">
        <v>41193</v>
      </c>
      <c r="C256" s="50">
        <v>0.54236111111111118</v>
      </c>
      <c r="D256" s="20">
        <v>2038</v>
      </c>
    </row>
    <row r="257" spans="2:4" x14ac:dyDescent="0.25">
      <c r="B257" s="49">
        <v>41193</v>
      </c>
      <c r="C257" s="50">
        <v>0.58611111111111114</v>
      </c>
      <c r="D257" s="20">
        <v>70</v>
      </c>
    </row>
    <row r="258" spans="2:4" x14ac:dyDescent="0.25">
      <c r="B258" s="49">
        <v>41193</v>
      </c>
      <c r="C258" s="50">
        <v>0.59166666666666667</v>
      </c>
      <c r="D258" s="20">
        <v>26</v>
      </c>
    </row>
    <row r="259" spans="2:4" x14ac:dyDescent="0.25">
      <c r="B259" s="49">
        <v>41193</v>
      </c>
      <c r="C259" s="50">
        <v>0.61041666666666672</v>
      </c>
      <c r="D259" s="20">
        <v>3057</v>
      </c>
    </row>
    <row r="260" spans="2:4" x14ac:dyDescent="0.25">
      <c r="B260" s="49">
        <v>41193</v>
      </c>
      <c r="C260" s="50">
        <v>0.6118055555555556</v>
      </c>
      <c r="D260" s="20">
        <v>31</v>
      </c>
    </row>
    <row r="261" spans="2:4" x14ac:dyDescent="0.25">
      <c r="B261" s="49">
        <v>41193</v>
      </c>
      <c r="C261" s="50">
        <v>0.62847222222222221</v>
      </c>
      <c r="D261" s="20">
        <v>239</v>
      </c>
    </row>
    <row r="262" spans="2:4" x14ac:dyDescent="0.25">
      <c r="B262" s="49">
        <v>41193</v>
      </c>
      <c r="C262" s="50">
        <v>0.69027777777777777</v>
      </c>
      <c r="D262" s="20">
        <v>101</v>
      </c>
    </row>
    <row r="263" spans="2:4" x14ac:dyDescent="0.25">
      <c r="B263" s="49">
        <v>41193</v>
      </c>
      <c r="C263" s="50">
        <v>0.7090277777777777</v>
      </c>
      <c r="D263" s="20">
        <v>1415</v>
      </c>
    </row>
    <row r="264" spans="2:4" x14ac:dyDescent="0.25">
      <c r="B264" s="49">
        <v>41193</v>
      </c>
      <c r="C264" s="50">
        <v>0.71597222222222223</v>
      </c>
      <c r="D264" s="20">
        <v>3063</v>
      </c>
    </row>
    <row r="265" spans="2:4" x14ac:dyDescent="0.25">
      <c r="B265" s="49">
        <v>41193</v>
      </c>
      <c r="C265" s="50">
        <v>0.72569444444444453</v>
      </c>
      <c r="D265" s="20">
        <v>82</v>
      </c>
    </row>
    <row r="266" spans="2:4" x14ac:dyDescent="0.25">
      <c r="B266" s="49">
        <v>41193</v>
      </c>
      <c r="C266" s="50">
        <v>0.73888888888888893</v>
      </c>
      <c r="D266" s="20">
        <v>2403</v>
      </c>
    </row>
    <row r="267" spans="2:4" x14ac:dyDescent="0.25">
      <c r="B267" s="49">
        <v>41193</v>
      </c>
      <c r="C267" s="50">
        <v>0.74236111111111114</v>
      </c>
      <c r="D267" s="20">
        <v>78</v>
      </c>
    </row>
    <row r="268" spans="2:4" x14ac:dyDescent="0.25">
      <c r="B268" s="49">
        <v>41193</v>
      </c>
      <c r="C268" s="50">
        <v>0.7680555555555556</v>
      </c>
      <c r="D268" s="20">
        <v>45</v>
      </c>
    </row>
    <row r="269" spans="2:4" x14ac:dyDescent="0.25">
      <c r="B269" s="49">
        <v>41193</v>
      </c>
      <c r="C269" s="50">
        <v>0.78333333333333333</v>
      </c>
      <c r="D269" s="20">
        <v>3086</v>
      </c>
    </row>
    <row r="270" spans="2:4" x14ac:dyDescent="0.25">
      <c r="B270" s="49">
        <v>41193</v>
      </c>
      <c r="C270" s="50">
        <v>0.81597222222222221</v>
      </c>
      <c r="D270" s="20">
        <v>14</v>
      </c>
    </row>
    <row r="271" spans="2:4" x14ac:dyDescent="0.25">
      <c r="B271" s="49">
        <v>41193</v>
      </c>
      <c r="C271" s="50">
        <v>0.83333333333333337</v>
      </c>
      <c r="D271" s="20">
        <v>4281</v>
      </c>
    </row>
    <row r="272" spans="2:4" x14ac:dyDescent="0.25">
      <c r="B272" s="49">
        <v>41193</v>
      </c>
      <c r="C272" s="50">
        <v>0.83680555555555547</v>
      </c>
      <c r="D272" s="20">
        <v>239</v>
      </c>
    </row>
    <row r="273" spans="2:4" x14ac:dyDescent="0.25">
      <c r="B273" s="49">
        <v>41193</v>
      </c>
      <c r="C273" s="50">
        <v>0.84861111111111109</v>
      </c>
      <c r="D273" s="20">
        <v>43</v>
      </c>
    </row>
    <row r="274" spans="2:4" x14ac:dyDescent="0.25">
      <c r="B274" s="49">
        <v>41193</v>
      </c>
      <c r="C274" s="50">
        <v>0.86319444444444438</v>
      </c>
      <c r="D274" s="20">
        <v>1081</v>
      </c>
    </row>
    <row r="275" spans="2:4" x14ac:dyDescent="0.25">
      <c r="B275" s="49">
        <v>41193</v>
      </c>
      <c r="C275" s="50">
        <v>0.86319444444444438</v>
      </c>
      <c r="D275" s="20">
        <v>1074</v>
      </c>
    </row>
    <row r="276" spans="2:4" x14ac:dyDescent="0.25">
      <c r="B276" s="49">
        <v>41194</v>
      </c>
      <c r="C276" s="50">
        <v>0.41111111111111115</v>
      </c>
      <c r="D276" s="20">
        <v>51</v>
      </c>
    </row>
    <row r="277" spans="2:4" x14ac:dyDescent="0.25">
      <c r="B277" s="49">
        <v>41194</v>
      </c>
      <c r="C277" s="50">
        <v>0.4513888888888889</v>
      </c>
      <c r="D277" s="20">
        <v>446</v>
      </c>
    </row>
    <row r="278" spans="2:4" x14ac:dyDescent="0.25">
      <c r="B278" s="49">
        <v>41194</v>
      </c>
      <c r="C278" s="50">
        <v>0.46388888888888885</v>
      </c>
      <c r="D278" s="20">
        <v>27</v>
      </c>
    </row>
    <row r="279" spans="2:4" x14ac:dyDescent="0.25">
      <c r="B279" s="49">
        <v>41194</v>
      </c>
      <c r="C279" s="50">
        <v>0.53888888888888886</v>
      </c>
      <c r="D279" s="20">
        <v>1462</v>
      </c>
    </row>
    <row r="280" spans="2:4" x14ac:dyDescent="0.25">
      <c r="B280" s="49">
        <v>41194</v>
      </c>
      <c r="C280" s="50">
        <v>0.54166666666666663</v>
      </c>
      <c r="D280" s="20">
        <v>267</v>
      </c>
    </row>
    <row r="281" spans="2:4" x14ac:dyDescent="0.25">
      <c r="B281" s="49">
        <v>41194</v>
      </c>
      <c r="C281" s="50">
        <v>0.57638888888888895</v>
      </c>
      <c r="D281" s="20">
        <v>96</v>
      </c>
    </row>
    <row r="282" spans="2:4" x14ac:dyDescent="0.25">
      <c r="B282" s="49">
        <v>41194</v>
      </c>
      <c r="C282" s="50">
        <v>0.58680555555555558</v>
      </c>
      <c r="D282" s="20">
        <v>146</v>
      </c>
    </row>
    <row r="283" spans="2:4" x14ac:dyDescent="0.25">
      <c r="B283" s="49">
        <v>41194</v>
      </c>
      <c r="C283" s="50">
        <v>0.59930555555555554</v>
      </c>
      <c r="D283" s="20">
        <v>79</v>
      </c>
    </row>
    <row r="284" spans="2:4" x14ac:dyDescent="0.25">
      <c r="B284" s="49">
        <v>41194</v>
      </c>
      <c r="C284" s="50">
        <v>0.6020833333333333</v>
      </c>
      <c r="D284" s="20">
        <v>2028</v>
      </c>
    </row>
    <row r="285" spans="2:4" x14ac:dyDescent="0.25">
      <c r="B285" s="49">
        <v>41194</v>
      </c>
      <c r="C285" s="50">
        <v>0.63124999999999998</v>
      </c>
      <c r="D285" s="20">
        <v>2345</v>
      </c>
    </row>
    <row r="286" spans="2:4" x14ac:dyDescent="0.25">
      <c r="B286" s="49">
        <v>41194</v>
      </c>
      <c r="C286" s="50">
        <v>0.63124999999999998</v>
      </c>
      <c r="D286" s="20">
        <v>2096</v>
      </c>
    </row>
    <row r="287" spans="2:4" x14ac:dyDescent="0.25">
      <c r="B287" s="49">
        <v>41194</v>
      </c>
      <c r="C287" s="50">
        <v>0.65208333333333335</v>
      </c>
      <c r="D287" s="20">
        <v>1028</v>
      </c>
    </row>
    <row r="288" spans="2:4" x14ac:dyDescent="0.25">
      <c r="B288" s="49">
        <v>41194</v>
      </c>
      <c r="C288" s="50">
        <v>0.66666666666666663</v>
      </c>
      <c r="D288" s="20">
        <v>86</v>
      </c>
    </row>
    <row r="289" spans="2:4" x14ac:dyDescent="0.25">
      <c r="B289" s="49">
        <v>41194</v>
      </c>
      <c r="C289" s="50">
        <v>0.70624999999999993</v>
      </c>
      <c r="D289" s="20">
        <v>214</v>
      </c>
    </row>
    <row r="290" spans="2:4" x14ac:dyDescent="0.25">
      <c r="B290" s="49">
        <v>41194</v>
      </c>
      <c r="C290" s="50">
        <v>0.7319444444444444</v>
      </c>
      <c r="D290" s="20">
        <v>79</v>
      </c>
    </row>
    <row r="291" spans="2:4" x14ac:dyDescent="0.25">
      <c r="B291" s="49">
        <v>41194</v>
      </c>
      <c r="C291" s="50">
        <v>0.76666666666666661</v>
      </c>
      <c r="D291" s="20">
        <v>54</v>
      </c>
    </row>
    <row r="292" spans="2:4" x14ac:dyDescent="0.25">
      <c r="B292" s="49">
        <v>41194</v>
      </c>
      <c r="C292" s="50">
        <v>0.81319444444444444</v>
      </c>
      <c r="D292" s="20">
        <v>1066</v>
      </c>
    </row>
    <row r="293" spans="2:4" x14ac:dyDescent="0.25">
      <c r="B293" s="49">
        <v>41194</v>
      </c>
      <c r="C293" s="50">
        <v>0.81805555555555554</v>
      </c>
      <c r="D293" s="20">
        <v>322</v>
      </c>
    </row>
    <row r="294" spans="2:4" x14ac:dyDescent="0.25">
      <c r="B294" s="49">
        <v>41194</v>
      </c>
      <c r="C294" s="50">
        <v>0.83888888888888891</v>
      </c>
      <c r="D294" s="20">
        <v>278</v>
      </c>
    </row>
    <row r="295" spans="2:4" x14ac:dyDescent="0.25">
      <c r="B295" s="49">
        <v>41194</v>
      </c>
      <c r="C295" s="50">
        <v>0.86597222222222225</v>
      </c>
      <c r="D295" s="20">
        <v>0</v>
      </c>
    </row>
    <row r="296" spans="2:4" x14ac:dyDescent="0.25">
      <c r="B296" s="49">
        <v>41194</v>
      </c>
      <c r="C296" s="50">
        <v>0.87708333333333333</v>
      </c>
      <c r="D296" s="20">
        <v>93</v>
      </c>
    </row>
    <row r="297" spans="2:4" x14ac:dyDescent="0.25">
      <c r="B297" s="49">
        <v>41194</v>
      </c>
      <c r="C297" s="50">
        <v>0.91388888888888886</v>
      </c>
      <c r="D297" s="20">
        <v>31</v>
      </c>
    </row>
    <row r="298" spans="2:4" x14ac:dyDescent="0.25">
      <c r="B298" s="49">
        <v>41194</v>
      </c>
      <c r="C298" s="50">
        <v>0.9291666666666667</v>
      </c>
      <c r="D298" s="20">
        <v>378</v>
      </c>
    </row>
    <row r="299" spans="2:4" x14ac:dyDescent="0.25">
      <c r="B299" s="49">
        <v>41195</v>
      </c>
      <c r="C299" s="50">
        <v>0.35486111111111113</v>
      </c>
      <c r="D299" s="20">
        <v>63</v>
      </c>
    </row>
    <row r="300" spans="2:4" x14ac:dyDescent="0.25">
      <c r="B300" s="49">
        <v>41195</v>
      </c>
      <c r="C300" s="50">
        <v>0.35972222222222222</v>
      </c>
      <c r="D300" s="20">
        <v>34</v>
      </c>
    </row>
    <row r="301" spans="2:4" x14ac:dyDescent="0.25">
      <c r="B301" s="49">
        <v>41195</v>
      </c>
      <c r="C301" s="50">
        <v>0.3611111111111111</v>
      </c>
      <c r="D301" s="20">
        <v>66</v>
      </c>
    </row>
    <row r="302" spans="2:4" x14ac:dyDescent="0.25">
      <c r="B302" s="49">
        <v>41195</v>
      </c>
      <c r="C302" s="50">
        <v>0.39652777777777781</v>
      </c>
      <c r="D302" s="20">
        <v>67</v>
      </c>
    </row>
    <row r="303" spans="2:4" x14ac:dyDescent="0.25">
      <c r="B303" s="49">
        <v>41195</v>
      </c>
      <c r="C303" s="50">
        <v>0.41944444444444445</v>
      </c>
      <c r="D303" s="20">
        <v>68</v>
      </c>
    </row>
    <row r="304" spans="2:4" x14ac:dyDescent="0.25">
      <c r="B304" s="49">
        <v>41195</v>
      </c>
      <c r="C304" s="50">
        <v>0.42777777777777781</v>
      </c>
      <c r="D304" s="20">
        <v>246</v>
      </c>
    </row>
    <row r="305" spans="2:4" x14ac:dyDescent="0.25">
      <c r="B305" s="49">
        <v>41195</v>
      </c>
      <c r="C305" s="50">
        <v>0.47638888888888892</v>
      </c>
      <c r="D305" s="20">
        <v>2053</v>
      </c>
    </row>
    <row r="306" spans="2:4" x14ac:dyDescent="0.25">
      <c r="B306" s="49">
        <v>41195</v>
      </c>
      <c r="C306" s="50">
        <v>0.48333333333333334</v>
      </c>
      <c r="D306" s="20">
        <v>353</v>
      </c>
    </row>
    <row r="307" spans="2:4" x14ac:dyDescent="0.25">
      <c r="B307" s="49">
        <v>41195</v>
      </c>
      <c r="C307" s="50">
        <v>0.48888888888888887</v>
      </c>
      <c r="D307" s="20">
        <v>112</v>
      </c>
    </row>
    <row r="308" spans="2:4" x14ac:dyDescent="0.25">
      <c r="B308" s="49">
        <v>41195</v>
      </c>
      <c r="C308" s="50">
        <v>0.49236111111111108</v>
      </c>
      <c r="D308" s="20">
        <v>65</v>
      </c>
    </row>
    <row r="309" spans="2:4" x14ac:dyDescent="0.25">
      <c r="B309" s="49">
        <v>41195</v>
      </c>
      <c r="C309" s="50">
        <v>0.5083333333333333</v>
      </c>
      <c r="D309" s="20">
        <v>398</v>
      </c>
    </row>
    <row r="310" spans="2:4" x14ac:dyDescent="0.25">
      <c r="B310" s="49">
        <v>41195</v>
      </c>
      <c r="C310" s="50">
        <v>0.51041666666666663</v>
      </c>
      <c r="D310" s="20">
        <v>119</v>
      </c>
    </row>
    <row r="311" spans="2:4" x14ac:dyDescent="0.25">
      <c r="B311" s="49">
        <v>41195</v>
      </c>
      <c r="C311" s="50">
        <v>0.52847222222222223</v>
      </c>
      <c r="D311" s="20">
        <v>220</v>
      </c>
    </row>
    <row r="312" spans="2:4" x14ac:dyDescent="0.25">
      <c r="B312" s="49">
        <v>41195</v>
      </c>
      <c r="C312" s="50">
        <v>0.57222222222222219</v>
      </c>
      <c r="D312" s="20">
        <v>307</v>
      </c>
    </row>
    <row r="313" spans="2:4" x14ac:dyDescent="0.25">
      <c r="B313" s="49">
        <v>41195</v>
      </c>
      <c r="C313" s="50">
        <v>0.59583333333333333</v>
      </c>
      <c r="D313" s="20">
        <v>319</v>
      </c>
    </row>
    <row r="314" spans="2:4" x14ac:dyDescent="0.25">
      <c r="B314" s="49">
        <v>41195</v>
      </c>
      <c r="C314" s="50">
        <v>0.59583333333333333</v>
      </c>
      <c r="D314" s="20">
        <v>95</v>
      </c>
    </row>
    <row r="315" spans="2:4" x14ac:dyDescent="0.25">
      <c r="B315" s="49">
        <v>41195</v>
      </c>
      <c r="C315" s="50">
        <v>0.60972222222222217</v>
      </c>
      <c r="D315" s="20">
        <v>281</v>
      </c>
    </row>
    <row r="316" spans="2:4" x14ac:dyDescent="0.25">
      <c r="B316" s="49">
        <v>41195</v>
      </c>
      <c r="C316" s="50">
        <v>0.60972222222222217</v>
      </c>
      <c r="D316" s="20">
        <v>2295</v>
      </c>
    </row>
    <row r="317" spans="2:4" x14ac:dyDescent="0.25">
      <c r="B317" s="49">
        <v>41195</v>
      </c>
      <c r="C317" s="50">
        <v>0.62430555555555556</v>
      </c>
      <c r="D317" s="20">
        <v>41</v>
      </c>
    </row>
    <row r="318" spans="2:4" x14ac:dyDescent="0.25">
      <c r="B318" s="49">
        <v>41195</v>
      </c>
      <c r="C318" s="50">
        <v>0.64444444444444449</v>
      </c>
      <c r="D318" s="20">
        <v>1082</v>
      </c>
    </row>
    <row r="319" spans="2:4" x14ac:dyDescent="0.25">
      <c r="B319" s="49">
        <v>41195</v>
      </c>
      <c r="C319" s="50">
        <v>0.66180555555555554</v>
      </c>
      <c r="D319" s="20">
        <v>3</v>
      </c>
    </row>
    <row r="320" spans="2:4" x14ac:dyDescent="0.25">
      <c r="B320" s="49">
        <v>41196</v>
      </c>
      <c r="C320" s="50">
        <v>0.35416666666666669</v>
      </c>
      <c r="D320" s="20">
        <v>388</v>
      </c>
    </row>
    <row r="321" spans="2:4" x14ac:dyDescent="0.25">
      <c r="B321" s="49">
        <v>41196</v>
      </c>
      <c r="C321" s="50">
        <v>0.40486111111111112</v>
      </c>
      <c r="D321" s="20">
        <v>48</v>
      </c>
    </row>
    <row r="322" spans="2:4" x14ac:dyDescent="0.25">
      <c r="B322" s="49">
        <v>41196</v>
      </c>
      <c r="C322" s="50">
        <v>0.44097222222222227</v>
      </c>
      <c r="D322" s="20">
        <v>85</v>
      </c>
    </row>
    <row r="323" spans="2:4" x14ac:dyDescent="0.25">
      <c r="B323" s="49">
        <v>41196</v>
      </c>
      <c r="C323" s="50">
        <v>0.44375000000000003</v>
      </c>
      <c r="D323" s="20">
        <v>1001</v>
      </c>
    </row>
    <row r="324" spans="2:4" x14ac:dyDescent="0.25">
      <c r="B324" s="49">
        <v>41196</v>
      </c>
      <c r="C324" s="50">
        <v>0.45069444444444445</v>
      </c>
      <c r="D324" s="20">
        <v>392</v>
      </c>
    </row>
    <row r="325" spans="2:4" x14ac:dyDescent="0.25">
      <c r="B325" s="49">
        <v>41196</v>
      </c>
      <c r="C325" s="50">
        <v>0.45416666666666666</v>
      </c>
      <c r="D325" s="20">
        <v>5</v>
      </c>
    </row>
    <row r="326" spans="2:4" x14ac:dyDescent="0.25">
      <c r="B326" s="49">
        <v>41196</v>
      </c>
      <c r="C326" s="50">
        <v>0.45555555555555555</v>
      </c>
      <c r="D326" s="20">
        <v>494</v>
      </c>
    </row>
    <row r="327" spans="2:4" x14ac:dyDescent="0.25">
      <c r="B327" s="49">
        <v>41196</v>
      </c>
      <c r="C327" s="50">
        <v>0.46666666666666662</v>
      </c>
      <c r="D327" s="20">
        <v>2078</v>
      </c>
    </row>
    <row r="328" spans="2:4" x14ac:dyDescent="0.25">
      <c r="B328" s="49">
        <v>41196</v>
      </c>
      <c r="C328" s="50">
        <v>0.51666666666666672</v>
      </c>
      <c r="D328" s="20">
        <v>90</v>
      </c>
    </row>
    <row r="329" spans="2:4" x14ac:dyDescent="0.25">
      <c r="B329" s="49">
        <v>41196</v>
      </c>
      <c r="C329" s="50">
        <v>0.5708333333333333</v>
      </c>
      <c r="D329" s="20">
        <v>4085</v>
      </c>
    </row>
    <row r="330" spans="2:4" x14ac:dyDescent="0.25">
      <c r="B330" s="49">
        <v>41196</v>
      </c>
      <c r="C330" s="50">
        <v>0.62361111111111112</v>
      </c>
      <c r="D330" s="20">
        <v>74</v>
      </c>
    </row>
    <row r="331" spans="2:4" x14ac:dyDescent="0.25">
      <c r="B331" s="49">
        <v>41196</v>
      </c>
      <c r="C331" s="50">
        <v>0.62916666666666665</v>
      </c>
      <c r="D331" s="20">
        <v>301</v>
      </c>
    </row>
    <row r="332" spans="2:4" x14ac:dyDescent="0.25">
      <c r="B332" s="49">
        <v>41196</v>
      </c>
      <c r="C332" s="50">
        <v>0.64374999999999993</v>
      </c>
      <c r="D332" s="20">
        <v>2044</v>
      </c>
    </row>
    <row r="333" spans="2:4" x14ac:dyDescent="0.25">
      <c r="B333" s="49">
        <v>41196</v>
      </c>
      <c r="C333" s="50">
        <v>0.6777777777777777</v>
      </c>
      <c r="D333" s="20">
        <v>36</v>
      </c>
    </row>
    <row r="334" spans="2:4" x14ac:dyDescent="0.25">
      <c r="B334" s="49">
        <v>41196</v>
      </c>
      <c r="C334" s="50">
        <v>0.70347222222222217</v>
      </c>
      <c r="D334" s="20">
        <v>2011</v>
      </c>
    </row>
    <row r="335" spans="2:4" x14ac:dyDescent="0.25">
      <c r="B335" s="49">
        <v>41196</v>
      </c>
      <c r="C335" s="50">
        <v>0.7055555555555556</v>
      </c>
      <c r="D335" s="20">
        <v>3026</v>
      </c>
    </row>
    <row r="336" spans="2:4" x14ac:dyDescent="0.25">
      <c r="B336" s="49">
        <v>41196</v>
      </c>
      <c r="C336" s="50">
        <v>0.71527777777777779</v>
      </c>
      <c r="D336" s="20">
        <v>25</v>
      </c>
    </row>
    <row r="337" spans="2:4" x14ac:dyDescent="0.25">
      <c r="B337" s="49">
        <v>41196</v>
      </c>
      <c r="C337" s="50">
        <v>0.7319444444444444</v>
      </c>
      <c r="D337" s="20">
        <v>3336</v>
      </c>
    </row>
    <row r="338" spans="2:4" x14ac:dyDescent="0.25">
      <c r="B338" s="49">
        <v>41196</v>
      </c>
      <c r="C338" s="50">
        <v>0.73402777777777783</v>
      </c>
      <c r="D338" s="20">
        <v>73</v>
      </c>
    </row>
    <row r="339" spans="2:4" x14ac:dyDescent="0.25">
      <c r="B339" s="49">
        <v>41196</v>
      </c>
      <c r="C339" s="50">
        <v>0.7909722222222223</v>
      </c>
      <c r="D339" s="20">
        <v>39</v>
      </c>
    </row>
    <row r="340" spans="2:4" x14ac:dyDescent="0.25">
      <c r="B340" s="49">
        <v>41196</v>
      </c>
      <c r="C340" s="50">
        <v>0.81041666666666667</v>
      </c>
      <c r="D340" s="20">
        <v>82</v>
      </c>
    </row>
    <row r="341" spans="2:4" x14ac:dyDescent="0.25">
      <c r="B341" s="49">
        <v>41197</v>
      </c>
      <c r="C341" s="50">
        <v>0.43402777777777773</v>
      </c>
      <c r="D341" s="20">
        <v>83</v>
      </c>
    </row>
    <row r="342" spans="2:4" x14ac:dyDescent="0.25">
      <c r="B342" s="49">
        <v>41197</v>
      </c>
      <c r="C342" s="50">
        <v>0.46249999999999997</v>
      </c>
      <c r="D342" s="20">
        <v>19</v>
      </c>
    </row>
    <row r="343" spans="2:4" x14ac:dyDescent="0.25">
      <c r="B343" s="49">
        <v>41197</v>
      </c>
      <c r="C343" s="50">
        <v>0.52638888888888891</v>
      </c>
      <c r="D343" s="20">
        <v>40</v>
      </c>
    </row>
    <row r="344" spans="2:4" x14ac:dyDescent="0.25">
      <c r="B344" s="49">
        <v>41197</v>
      </c>
      <c r="C344" s="50">
        <v>0.53402777777777777</v>
      </c>
      <c r="D344" s="20">
        <v>371</v>
      </c>
    </row>
    <row r="345" spans="2:4" x14ac:dyDescent="0.25">
      <c r="B345" s="49">
        <v>41197</v>
      </c>
      <c r="C345" s="50">
        <v>0.5444444444444444</v>
      </c>
      <c r="D345" s="20">
        <v>54</v>
      </c>
    </row>
    <row r="346" spans="2:4" x14ac:dyDescent="0.25">
      <c r="B346" s="49">
        <v>41197</v>
      </c>
      <c r="C346" s="50">
        <v>0.61944444444444446</v>
      </c>
      <c r="D346" s="20">
        <v>2237</v>
      </c>
    </row>
    <row r="347" spans="2:4" x14ac:dyDescent="0.25">
      <c r="B347" s="49">
        <v>41197</v>
      </c>
      <c r="C347" s="50">
        <v>0.62847222222222221</v>
      </c>
      <c r="D347" s="20">
        <v>85</v>
      </c>
    </row>
    <row r="348" spans="2:4" x14ac:dyDescent="0.25">
      <c r="B348" s="49">
        <v>41197</v>
      </c>
      <c r="C348" s="50">
        <v>0.67569444444444438</v>
      </c>
      <c r="D348" s="20">
        <v>82</v>
      </c>
    </row>
    <row r="349" spans="2:4" x14ac:dyDescent="0.25">
      <c r="B349" s="49">
        <v>41197</v>
      </c>
      <c r="C349" s="50">
        <v>0.6972222222222223</v>
      </c>
      <c r="D349" s="20">
        <v>9</v>
      </c>
    </row>
    <row r="350" spans="2:4" x14ac:dyDescent="0.25">
      <c r="B350" s="49">
        <v>41197</v>
      </c>
      <c r="C350" s="50">
        <v>0.7416666666666667</v>
      </c>
      <c r="D350" s="20">
        <v>11</v>
      </c>
    </row>
    <row r="351" spans="2:4" x14ac:dyDescent="0.25">
      <c r="B351" s="49">
        <v>41197</v>
      </c>
      <c r="C351" s="50">
        <v>0.75902777777777775</v>
      </c>
      <c r="D351" s="20">
        <v>476</v>
      </c>
    </row>
    <row r="352" spans="2:4" x14ac:dyDescent="0.25">
      <c r="B352" s="49">
        <v>41197</v>
      </c>
      <c r="C352" s="50">
        <v>0.7597222222222223</v>
      </c>
      <c r="D352" s="20">
        <v>4194</v>
      </c>
    </row>
    <row r="353" spans="2:4" x14ac:dyDescent="0.25">
      <c r="B353" s="49">
        <v>41197</v>
      </c>
      <c r="C353" s="50">
        <v>0.79375000000000007</v>
      </c>
      <c r="D353" s="20">
        <v>4052</v>
      </c>
    </row>
    <row r="354" spans="2:4" x14ac:dyDescent="0.25">
      <c r="B354" s="49">
        <v>41197</v>
      </c>
      <c r="C354" s="50">
        <v>0.80694444444444446</v>
      </c>
      <c r="D354" s="20">
        <v>1062</v>
      </c>
    </row>
    <row r="355" spans="2:4" x14ac:dyDescent="0.25">
      <c r="B355" s="49">
        <v>41197</v>
      </c>
      <c r="C355" s="50">
        <v>0.81458333333333333</v>
      </c>
      <c r="D355" s="20">
        <v>17</v>
      </c>
    </row>
    <row r="356" spans="2:4" x14ac:dyDescent="0.25">
      <c r="B356" s="49">
        <v>41197</v>
      </c>
      <c r="C356" s="50">
        <v>0.8208333333333333</v>
      </c>
      <c r="D356" s="20">
        <v>4083</v>
      </c>
    </row>
    <row r="357" spans="2:4" x14ac:dyDescent="0.25">
      <c r="B357" s="49">
        <v>41197</v>
      </c>
      <c r="C357" s="50">
        <v>0.82152777777777775</v>
      </c>
      <c r="D357" s="20">
        <v>3036</v>
      </c>
    </row>
    <row r="358" spans="2:4" x14ac:dyDescent="0.25">
      <c r="B358" s="49">
        <v>41197</v>
      </c>
      <c r="C358" s="50">
        <v>0.84236111111111101</v>
      </c>
      <c r="D358" s="20">
        <v>55</v>
      </c>
    </row>
    <row r="359" spans="2:4" x14ac:dyDescent="0.25">
      <c r="B359" s="49">
        <v>41197</v>
      </c>
      <c r="C359" s="50">
        <v>0.89027777777777783</v>
      </c>
      <c r="D359" s="20">
        <v>220</v>
      </c>
    </row>
    <row r="360" spans="2:4" x14ac:dyDescent="0.25">
      <c r="B360" s="49">
        <v>41197</v>
      </c>
      <c r="C360" s="50">
        <v>0.95347222222222217</v>
      </c>
      <c r="D360" s="20">
        <v>2175</v>
      </c>
    </row>
    <row r="361" spans="2:4" x14ac:dyDescent="0.25">
      <c r="B361" s="49">
        <v>41197</v>
      </c>
      <c r="C361" s="50">
        <v>0.97638888888888886</v>
      </c>
      <c r="D361" s="20">
        <v>157</v>
      </c>
    </row>
    <row r="362" spans="2:4" x14ac:dyDescent="0.25">
      <c r="B362" s="49">
        <v>41197</v>
      </c>
      <c r="C362" s="50">
        <v>0.97777777777777775</v>
      </c>
      <c r="D362" s="20">
        <v>2034</v>
      </c>
    </row>
    <row r="363" spans="2:4" x14ac:dyDescent="0.25">
      <c r="B363" s="49">
        <v>41197</v>
      </c>
      <c r="C363" s="50">
        <v>0.98958333333333337</v>
      </c>
      <c r="D363" s="20">
        <v>297</v>
      </c>
    </row>
    <row r="364" spans="2:4" x14ac:dyDescent="0.25">
      <c r="B364" s="49">
        <v>41197</v>
      </c>
      <c r="C364" s="50">
        <v>0.99791666666666667</v>
      </c>
      <c r="D364" s="20">
        <v>4054</v>
      </c>
    </row>
    <row r="365" spans="2:4" x14ac:dyDescent="0.25">
      <c r="B365" s="49">
        <v>41198</v>
      </c>
      <c r="C365" s="50">
        <v>0.29305555555555557</v>
      </c>
      <c r="D365" s="20">
        <v>3074</v>
      </c>
    </row>
    <row r="366" spans="2:4" x14ac:dyDescent="0.25">
      <c r="B366" s="49">
        <v>41198</v>
      </c>
      <c r="C366" s="50">
        <v>0.30555555555555552</v>
      </c>
      <c r="D366" s="20">
        <v>4071</v>
      </c>
    </row>
    <row r="367" spans="2:4" x14ac:dyDescent="0.25">
      <c r="B367" s="49">
        <v>41198</v>
      </c>
      <c r="C367" s="50">
        <v>0.32500000000000001</v>
      </c>
      <c r="D367" s="20">
        <v>4085</v>
      </c>
    </row>
    <row r="368" spans="2:4" x14ac:dyDescent="0.25">
      <c r="B368" s="49">
        <v>41198</v>
      </c>
      <c r="C368" s="50">
        <v>0.3263888888888889</v>
      </c>
      <c r="D368" s="20">
        <v>45</v>
      </c>
    </row>
    <row r="369" spans="2:4" x14ac:dyDescent="0.25">
      <c r="B369" s="49">
        <v>41198</v>
      </c>
      <c r="C369" s="50">
        <v>0.36180555555555555</v>
      </c>
      <c r="D369" s="20">
        <v>78</v>
      </c>
    </row>
    <row r="370" spans="2:4" x14ac:dyDescent="0.25">
      <c r="B370" s="49">
        <v>41198</v>
      </c>
      <c r="C370" s="50">
        <v>0.36874999999999997</v>
      </c>
      <c r="D370" s="20">
        <v>83</v>
      </c>
    </row>
    <row r="371" spans="2:4" x14ac:dyDescent="0.25">
      <c r="B371" s="49">
        <v>41198</v>
      </c>
      <c r="C371" s="50">
        <v>0.4055555555555555</v>
      </c>
      <c r="D371" s="20">
        <v>4098</v>
      </c>
    </row>
    <row r="372" spans="2:4" x14ac:dyDescent="0.25">
      <c r="B372" s="49">
        <v>41198</v>
      </c>
      <c r="C372" s="50">
        <v>0.43124999999999997</v>
      </c>
      <c r="D372" s="20">
        <v>59</v>
      </c>
    </row>
    <row r="373" spans="2:4" x14ac:dyDescent="0.25">
      <c r="B373" s="49">
        <v>41198</v>
      </c>
      <c r="C373" s="50">
        <v>0.44722222222222219</v>
      </c>
      <c r="D373" s="20">
        <v>1326</v>
      </c>
    </row>
    <row r="374" spans="2:4" x14ac:dyDescent="0.25">
      <c r="B374" s="49">
        <v>41198</v>
      </c>
      <c r="C374" s="50">
        <v>0.48402777777777778</v>
      </c>
      <c r="D374" s="20">
        <v>2075</v>
      </c>
    </row>
    <row r="375" spans="2:4" x14ac:dyDescent="0.25">
      <c r="B375" s="49">
        <v>41198</v>
      </c>
      <c r="C375" s="50">
        <v>0.50902777777777775</v>
      </c>
      <c r="D375" s="20">
        <v>2031</v>
      </c>
    </row>
    <row r="376" spans="2:4" x14ac:dyDescent="0.25">
      <c r="B376" s="49">
        <v>41198</v>
      </c>
      <c r="C376" s="50">
        <v>0.50972222222222219</v>
      </c>
      <c r="D376" s="20">
        <v>18</v>
      </c>
    </row>
    <row r="377" spans="2:4" x14ac:dyDescent="0.25">
      <c r="B377" s="49">
        <v>41198</v>
      </c>
      <c r="C377" s="50">
        <v>0.56736111111111109</v>
      </c>
      <c r="D377" s="20">
        <v>2021</v>
      </c>
    </row>
    <row r="378" spans="2:4" x14ac:dyDescent="0.25">
      <c r="B378" s="49">
        <v>41198</v>
      </c>
      <c r="C378" s="50">
        <v>0.57152777777777775</v>
      </c>
      <c r="D378" s="20">
        <v>78</v>
      </c>
    </row>
    <row r="379" spans="2:4" x14ac:dyDescent="0.25">
      <c r="B379" s="49">
        <v>41198</v>
      </c>
      <c r="C379" s="50">
        <v>0.61041666666666672</v>
      </c>
      <c r="D379" s="20">
        <v>172</v>
      </c>
    </row>
    <row r="380" spans="2:4" x14ac:dyDescent="0.25">
      <c r="B380" s="49">
        <v>41198</v>
      </c>
      <c r="C380" s="50">
        <v>0.61388888888888882</v>
      </c>
      <c r="D380" s="20">
        <v>1210</v>
      </c>
    </row>
    <row r="381" spans="2:4" x14ac:dyDescent="0.25">
      <c r="B381" s="49">
        <v>41198</v>
      </c>
      <c r="C381" s="50">
        <v>0.65625</v>
      </c>
      <c r="D381" s="20">
        <v>26</v>
      </c>
    </row>
    <row r="382" spans="2:4" x14ac:dyDescent="0.25">
      <c r="B382" s="49">
        <v>41198</v>
      </c>
      <c r="C382" s="50">
        <v>0.66597222222222219</v>
      </c>
      <c r="D382" s="20">
        <v>4251</v>
      </c>
    </row>
    <row r="383" spans="2:4" x14ac:dyDescent="0.25">
      <c r="B383" s="49">
        <v>41198</v>
      </c>
      <c r="C383" s="50">
        <v>0.67638888888888893</v>
      </c>
      <c r="D383" s="20">
        <v>1028</v>
      </c>
    </row>
    <row r="384" spans="2:4" x14ac:dyDescent="0.25">
      <c r="B384" s="49">
        <v>41198</v>
      </c>
      <c r="C384" s="50">
        <v>0.71736111111111101</v>
      </c>
      <c r="D384" s="20">
        <v>371</v>
      </c>
    </row>
    <row r="385" spans="2:4" x14ac:dyDescent="0.25">
      <c r="B385" s="49">
        <v>41198</v>
      </c>
      <c r="C385" s="50">
        <v>0.74930555555555556</v>
      </c>
      <c r="D385" s="20">
        <v>45</v>
      </c>
    </row>
    <row r="386" spans="2:4" x14ac:dyDescent="0.25">
      <c r="B386" s="49">
        <v>41198</v>
      </c>
      <c r="C386" s="50">
        <v>0.76736111111111116</v>
      </c>
      <c r="D386" s="20">
        <v>19</v>
      </c>
    </row>
    <row r="387" spans="2:4" x14ac:dyDescent="0.25">
      <c r="B387" s="49">
        <v>41198</v>
      </c>
      <c r="C387" s="50">
        <v>0.78125</v>
      </c>
      <c r="D387" s="20">
        <v>30</v>
      </c>
    </row>
    <row r="388" spans="2:4" x14ac:dyDescent="0.25">
      <c r="B388" s="49">
        <v>41198</v>
      </c>
      <c r="C388" s="50">
        <v>0.8027777777777777</v>
      </c>
      <c r="D388" s="20">
        <v>136</v>
      </c>
    </row>
    <row r="389" spans="2:4" x14ac:dyDescent="0.25">
      <c r="B389" s="49">
        <v>41198</v>
      </c>
      <c r="C389" s="50">
        <v>0.80972222222222223</v>
      </c>
      <c r="D389" s="20">
        <v>4327</v>
      </c>
    </row>
    <row r="390" spans="2:4" x14ac:dyDescent="0.25">
      <c r="B390" s="49">
        <v>41198</v>
      </c>
      <c r="C390" s="50">
        <v>0.8125</v>
      </c>
      <c r="D390" s="20">
        <v>443</v>
      </c>
    </row>
    <row r="391" spans="2:4" x14ac:dyDescent="0.25">
      <c r="B391" s="49">
        <v>41198</v>
      </c>
      <c r="C391" s="50">
        <v>0.83333333333333337</v>
      </c>
      <c r="D391" s="20">
        <v>3010</v>
      </c>
    </row>
    <row r="392" spans="2:4" x14ac:dyDescent="0.25">
      <c r="B392" s="49">
        <v>41198</v>
      </c>
      <c r="C392" s="50">
        <v>0.83750000000000002</v>
      </c>
      <c r="D392" s="20">
        <v>4032</v>
      </c>
    </row>
    <row r="393" spans="2:4" x14ac:dyDescent="0.25">
      <c r="B393" s="49">
        <v>41198</v>
      </c>
      <c r="C393" s="50">
        <v>0.84027777777777779</v>
      </c>
      <c r="D393" s="20">
        <v>52</v>
      </c>
    </row>
    <row r="394" spans="2:4" x14ac:dyDescent="0.25">
      <c r="B394" s="49">
        <v>41198</v>
      </c>
      <c r="C394" s="50">
        <v>0.85069444444444453</v>
      </c>
      <c r="D394" s="20">
        <v>50</v>
      </c>
    </row>
    <row r="395" spans="2:4" x14ac:dyDescent="0.25">
      <c r="B395" s="49">
        <v>41198</v>
      </c>
      <c r="C395" s="50">
        <v>0.85416666666666663</v>
      </c>
      <c r="D395" s="20">
        <v>53</v>
      </c>
    </row>
    <row r="396" spans="2:4" x14ac:dyDescent="0.25">
      <c r="B396" s="49">
        <v>41198</v>
      </c>
      <c r="C396" s="50">
        <v>0.86249999999999993</v>
      </c>
      <c r="D396" s="20">
        <v>261</v>
      </c>
    </row>
    <row r="397" spans="2:4" x14ac:dyDescent="0.25">
      <c r="B397" s="49">
        <v>41198</v>
      </c>
      <c r="C397" s="50">
        <v>0.88958333333333339</v>
      </c>
      <c r="D397" s="20">
        <v>3067</v>
      </c>
    </row>
    <row r="398" spans="2:4" x14ac:dyDescent="0.25">
      <c r="B398" s="49">
        <v>41199</v>
      </c>
      <c r="C398" s="50">
        <v>0.46249999999999997</v>
      </c>
      <c r="D398" s="20">
        <v>4055</v>
      </c>
    </row>
    <row r="399" spans="2:4" x14ac:dyDescent="0.25">
      <c r="B399" s="49">
        <v>41199</v>
      </c>
      <c r="C399" s="50">
        <v>0.53125</v>
      </c>
      <c r="D399" s="20">
        <v>1010</v>
      </c>
    </row>
    <row r="400" spans="2:4" x14ac:dyDescent="0.25">
      <c r="B400" s="49">
        <v>41199</v>
      </c>
      <c r="C400" s="50">
        <v>0.56527777777777777</v>
      </c>
      <c r="D400" s="20">
        <v>1066</v>
      </c>
    </row>
    <row r="401" spans="2:4" x14ac:dyDescent="0.25">
      <c r="B401" s="49">
        <v>41199</v>
      </c>
      <c r="C401" s="50">
        <v>0.60902777777777783</v>
      </c>
      <c r="D401" s="20">
        <v>4</v>
      </c>
    </row>
    <row r="402" spans="2:4" x14ac:dyDescent="0.25">
      <c r="B402" s="49">
        <v>41199</v>
      </c>
      <c r="C402" s="50">
        <v>0.64166666666666672</v>
      </c>
      <c r="D402" s="20">
        <v>87</v>
      </c>
    </row>
    <row r="403" spans="2:4" x14ac:dyDescent="0.25">
      <c r="B403" s="49">
        <v>41199</v>
      </c>
      <c r="C403" s="50">
        <v>0.68333333333333324</v>
      </c>
      <c r="D403" s="20">
        <v>1437</v>
      </c>
    </row>
    <row r="404" spans="2:4" x14ac:dyDescent="0.25">
      <c r="B404" s="49">
        <v>41199</v>
      </c>
      <c r="C404" s="50">
        <v>0.73888888888888893</v>
      </c>
      <c r="D404" s="20">
        <v>74</v>
      </c>
    </row>
    <row r="405" spans="2:4" x14ac:dyDescent="0.25">
      <c r="B405" s="49">
        <v>41199</v>
      </c>
      <c r="C405" s="50">
        <v>0.78541666666666676</v>
      </c>
      <c r="D405" s="20">
        <v>237</v>
      </c>
    </row>
    <row r="406" spans="2:4" x14ac:dyDescent="0.25">
      <c r="B406" s="49">
        <v>41199</v>
      </c>
      <c r="C406" s="50">
        <v>0.81527777777777777</v>
      </c>
      <c r="D406" s="20">
        <v>187</v>
      </c>
    </row>
    <row r="407" spans="2:4" x14ac:dyDescent="0.25">
      <c r="B407" s="49">
        <v>41199</v>
      </c>
      <c r="C407" s="50">
        <v>0.82430555555555562</v>
      </c>
      <c r="D407" s="20">
        <v>1178</v>
      </c>
    </row>
    <row r="408" spans="2:4" x14ac:dyDescent="0.25">
      <c r="B408" s="49">
        <v>41199</v>
      </c>
      <c r="C408" s="50">
        <v>0.8652777777777777</v>
      </c>
      <c r="D408" s="20">
        <v>96</v>
      </c>
    </row>
    <row r="409" spans="2:4" x14ac:dyDescent="0.25">
      <c r="B409" s="49">
        <v>41199</v>
      </c>
      <c r="C409" s="50">
        <v>0.87986111111111109</v>
      </c>
      <c r="D409" s="20">
        <v>3086</v>
      </c>
    </row>
    <row r="410" spans="2:4" x14ac:dyDescent="0.25">
      <c r="B410" s="49">
        <v>41199</v>
      </c>
      <c r="C410" s="50">
        <v>0.91736111111111107</v>
      </c>
      <c r="D410" s="20">
        <v>334</v>
      </c>
    </row>
    <row r="411" spans="2:4" x14ac:dyDescent="0.25">
      <c r="B411" s="49">
        <v>41199</v>
      </c>
      <c r="C411" s="50">
        <v>0.92291666666666661</v>
      </c>
      <c r="D411" s="20">
        <v>235</v>
      </c>
    </row>
    <row r="412" spans="2:4" x14ac:dyDescent="0.25">
      <c r="B412" s="49">
        <v>41199</v>
      </c>
      <c r="C412" s="50">
        <v>0.93333333333333324</v>
      </c>
      <c r="D412" s="20">
        <v>42</v>
      </c>
    </row>
    <row r="413" spans="2:4" x14ac:dyDescent="0.25">
      <c r="B413" s="49">
        <v>41199</v>
      </c>
      <c r="C413" s="50">
        <v>0.96111111111111114</v>
      </c>
      <c r="D413" s="20">
        <v>90</v>
      </c>
    </row>
    <row r="414" spans="2:4" x14ac:dyDescent="0.25">
      <c r="B414" s="49">
        <v>41199</v>
      </c>
      <c r="C414" s="50">
        <v>0.99722222222222223</v>
      </c>
      <c r="D414" s="20">
        <v>435</v>
      </c>
    </row>
    <row r="415" spans="2:4" x14ac:dyDescent="0.25">
      <c r="B415" s="49">
        <v>41199</v>
      </c>
      <c r="C415" s="50">
        <v>1.0284722222222222</v>
      </c>
      <c r="D415" s="20">
        <v>87</v>
      </c>
    </row>
    <row r="416" spans="2:4" x14ac:dyDescent="0.25">
      <c r="B416" s="49">
        <v>41199</v>
      </c>
      <c r="C416" s="50">
        <v>1.0291666666666666</v>
      </c>
      <c r="D416" s="20">
        <v>98</v>
      </c>
    </row>
    <row r="417" spans="2:4" x14ac:dyDescent="0.25">
      <c r="B417" s="49">
        <v>41199</v>
      </c>
      <c r="C417" s="50">
        <v>1.0541666666666667</v>
      </c>
      <c r="D417" s="20">
        <v>3248</v>
      </c>
    </row>
    <row r="418" spans="2:4" x14ac:dyDescent="0.25">
      <c r="B418" s="49">
        <v>41200</v>
      </c>
      <c r="C418" s="50">
        <v>0.49722222222222223</v>
      </c>
      <c r="D418" s="20">
        <v>87</v>
      </c>
    </row>
    <row r="419" spans="2:4" x14ac:dyDescent="0.25">
      <c r="B419" s="49">
        <v>41200</v>
      </c>
      <c r="C419" s="50">
        <v>0.52361111111111114</v>
      </c>
      <c r="D419" s="20">
        <v>91</v>
      </c>
    </row>
    <row r="420" spans="2:4" x14ac:dyDescent="0.25">
      <c r="B420" s="49">
        <v>41200</v>
      </c>
      <c r="C420" s="50">
        <v>0.52430555555555558</v>
      </c>
      <c r="D420" s="20">
        <v>1047</v>
      </c>
    </row>
    <row r="421" spans="2:4" x14ac:dyDescent="0.25">
      <c r="B421" s="49">
        <v>41200</v>
      </c>
      <c r="C421" s="50">
        <v>0.53611111111111109</v>
      </c>
      <c r="D421" s="20">
        <v>1010</v>
      </c>
    </row>
    <row r="422" spans="2:4" x14ac:dyDescent="0.25">
      <c r="B422" s="49">
        <v>41200</v>
      </c>
      <c r="C422" s="50">
        <v>0.54999999999999993</v>
      </c>
      <c r="D422" s="20">
        <v>326</v>
      </c>
    </row>
    <row r="423" spans="2:4" x14ac:dyDescent="0.25">
      <c r="B423" s="49">
        <v>41200</v>
      </c>
      <c r="C423" s="50">
        <v>0.55763888888888891</v>
      </c>
      <c r="D423" s="20">
        <v>3029</v>
      </c>
    </row>
    <row r="424" spans="2:4" x14ac:dyDescent="0.25">
      <c r="B424" s="49">
        <v>41200</v>
      </c>
      <c r="C424" s="50">
        <v>0.57500000000000007</v>
      </c>
      <c r="D424" s="20">
        <v>27</v>
      </c>
    </row>
    <row r="425" spans="2:4" x14ac:dyDescent="0.25">
      <c r="B425" s="49">
        <v>41200</v>
      </c>
      <c r="C425" s="50">
        <v>0.57847222222222217</v>
      </c>
      <c r="D425" s="20">
        <v>2051</v>
      </c>
    </row>
    <row r="426" spans="2:4" x14ac:dyDescent="0.25">
      <c r="B426" s="49">
        <v>41200</v>
      </c>
      <c r="C426" s="50">
        <v>0.61319444444444449</v>
      </c>
      <c r="D426" s="20">
        <v>49</v>
      </c>
    </row>
    <row r="427" spans="2:4" x14ac:dyDescent="0.25">
      <c r="B427" s="49">
        <v>41200</v>
      </c>
      <c r="C427" s="50">
        <v>0.65347222222222223</v>
      </c>
      <c r="D427" s="20">
        <v>89</v>
      </c>
    </row>
    <row r="428" spans="2:4" x14ac:dyDescent="0.25">
      <c r="B428" s="49">
        <v>41200</v>
      </c>
      <c r="C428" s="50">
        <v>0.68888888888888899</v>
      </c>
      <c r="D428" s="20">
        <v>1185</v>
      </c>
    </row>
    <row r="429" spans="2:4" x14ac:dyDescent="0.25">
      <c r="B429" s="49">
        <v>41200</v>
      </c>
      <c r="C429" s="50">
        <v>0.7090277777777777</v>
      </c>
      <c r="D429" s="20">
        <v>3000</v>
      </c>
    </row>
    <row r="430" spans="2:4" x14ac:dyDescent="0.25">
      <c r="B430" s="49">
        <v>41200</v>
      </c>
      <c r="C430" s="50">
        <v>0.71944444444444444</v>
      </c>
      <c r="D430" s="20">
        <v>4214</v>
      </c>
    </row>
    <row r="431" spans="2:4" x14ac:dyDescent="0.25">
      <c r="B431" s="49">
        <v>41200</v>
      </c>
      <c r="C431" s="50">
        <v>0.72430555555555554</v>
      </c>
      <c r="D431" s="20">
        <v>100</v>
      </c>
    </row>
    <row r="432" spans="2:4" x14ac:dyDescent="0.25">
      <c r="B432" s="49">
        <v>41200</v>
      </c>
      <c r="C432" s="50">
        <v>0.77083333333333337</v>
      </c>
      <c r="D432" s="20">
        <v>1209</v>
      </c>
    </row>
    <row r="433" spans="2:4" x14ac:dyDescent="0.25">
      <c r="B433" s="49">
        <v>41200</v>
      </c>
      <c r="C433" s="50">
        <v>0.81944444444444453</v>
      </c>
      <c r="D433" s="20">
        <v>5</v>
      </c>
    </row>
    <row r="434" spans="2:4" x14ac:dyDescent="0.25">
      <c r="B434" s="49">
        <v>41200</v>
      </c>
      <c r="C434" s="50">
        <v>0.8208333333333333</v>
      </c>
      <c r="D434" s="20">
        <v>74</v>
      </c>
    </row>
    <row r="435" spans="2:4" x14ac:dyDescent="0.25">
      <c r="B435" s="49">
        <v>41200</v>
      </c>
      <c r="C435" s="50">
        <v>0.85486111111111107</v>
      </c>
      <c r="D435" s="20">
        <v>262</v>
      </c>
    </row>
    <row r="436" spans="2:4" x14ac:dyDescent="0.25">
      <c r="B436" s="49">
        <v>41200</v>
      </c>
      <c r="C436" s="50">
        <v>0.8979166666666667</v>
      </c>
      <c r="D436" s="20">
        <v>447</v>
      </c>
    </row>
    <row r="437" spans="2:4" x14ac:dyDescent="0.25">
      <c r="B437" s="49">
        <v>41200</v>
      </c>
      <c r="C437" s="50">
        <v>0.94791666666666663</v>
      </c>
      <c r="D437" s="20">
        <v>71</v>
      </c>
    </row>
    <row r="438" spans="2:4" x14ac:dyDescent="0.25">
      <c r="B438" s="49">
        <v>41200</v>
      </c>
      <c r="C438" s="50">
        <v>0.96458333333333324</v>
      </c>
      <c r="D438" s="20">
        <v>83</v>
      </c>
    </row>
    <row r="439" spans="2:4" x14ac:dyDescent="0.25">
      <c r="B439" s="49">
        <v>41200</v>
      </c>
      <c r="C439" s="50">
        <v>0.98055555555555562</v>
      </c>
      <c r="D439" s="20">
        <v>3000</v>
      </c>
    </row>
    <row r="440" spans="2:4" x14ac:dyDescent="0.25">
      <c r="B440" s="49">
        <v>41200</v>
      </c>
      <c r="C440" s="50">
        <v>0.9819444444444444</v>
      </c>
      <c r="D440" s="20">
        <v>4051</v>
      </c>
    </row>
    <row r="441" spans="2:4" x14ac:dyDescent="0.25">
      <c r="B441" s="49">
        <v>41200</v>
      </c>
      <c r="C441" s="50">
        <v>0.98333333333333339</v>
      </c>
      <c r="D441" s="20">
        <v>362</v>
      </c>
    </row>
    <row r="442" spans="2:4" x14ac:dyDescent="0.25">
      <c r="B442" s="49">
        <v>41200</v>
      </c>
      <c r="C442" s="50">
        <v>1.0090277777777776</v>
      </c>
      <c r="D442" s="20">
        <v>4245</v>
      </c>
    </row>
    <row r="443" spans="2:4" x14ac:dyDescent="0.25">
      <c r="B443" s="49">
        <v>41200</v>
      </c>
      <c r="C443" s="50">
        <v>1.0416666666666667</v>
      </c>
      <c r="D443" s="20">
        <v>2039</v>
      </c>
    </row>
    <row r="444" spans="2:4" x14ac:dyDescent="0.25">
      <c r="B444" s="49">
        <v>41200</v>
      </c>
      <c r="C444" s="50">
        <v>1.1118055555555555</v>
      </c>
      <c r="D444" s="20">
        <v>287</v>
      </c>
    </row>
    <row r="445" spans="2:4" x14ac:dyDescent="0.25">
      <c r="B445" s="49">
        <v>41200</v>
      </c>
      <c r="C445" s="50">
        <v>1.1500000000000001</v>
      </c>
      <c r="D445" s="20">
        <v>431</v>
      </c>
    </row>
    <row r="446" spans="2:4" x14ac:dyDescent="0.25">
      <c r="B446" s="49">
        <v>41200</v>
      </c>
      <c r="C446" s="50">
        <v>1.1694444444444445</v>
      </c>
      <c r="D446" s="20">
        <v>1244</v>
      </c>
    </row>
    <row r="447" spans="2:4" x14ac:dyDescent="0.25">
      <c r="B447" s="49">
        <v>41200</v>
      </c>
      <c r="C447" s="50">
        <v>1.2256944444444444</v>
      </c>
      <c r="D447" s="20">
        <v>3049</v>
      </c>
    </row>
    <row r="448" spans="2:4" x14ac:dyDescent="0.25">
      <c r="B448" s="49">
        <v>41200</v>
      </c>
      <c r="C448" s="50">
        <v>1.2541666666666667</v>
      </c>
      <c r="D448" s="20">
        <v>4</v>
      </c>
    </row>
    <row r="449" spans="2:4" x14ac:dyDescent="0.25">
      <c r="B449" s="49">
        <v>41200</v>
      </c>
      <c r="C449" s="50">
        <v>1.2611111111111111</v>
      </c>
      <c r="D449" s="20">
        <v>4007</v>
      </c>
    </row>
    <row r="450" spans="2:4" x14ac:dyDescent="0.25">
      <c r="B450" s="49">
        <v>41200</v>
      </c>
      <c r="C450" s="50">
        <v>1.2652777777777777</v>
      </c>
      <c r="D450" s="20">
        <v>22</v>
      </c>
    </row>
    <row r="451" spans="2:4" x14ac:dyDescent="0.25">
      <c r="B451" s="49">
        <v>41200</v>
      </c>
      <c r="C451" s="50">
        <v>1.2874999999999999</v>
      </c>
      <c r="D451" s="20">
        <v>4143</v>
      </c>
    </row>
    <row r="452" spans="2:4" x14ac:dyDescent="0.25">
      <c r="B452" s="49">
        <v>41200</v>
      </c>
      <c r="C452" s="50">
        <v>1.3305555555555555</v>
      </c>
      <c r="D452" s="20">
        <v>1480</v>
      </c>
    </row>
    <row r="453" spans="2:4" x14ac:dyDescent="0.25">
      <c r="B453" s="49">
        <v>41200</v>
      </c>
      <c r="C453" s="50">
        <v>1.3583333333333334</v>
      </c>
      <c r="D453" s="20">
        <v>97</v>
      </c>
    </row>
    <row r="454" spans="2:4" x14ac:dyDescent="0.25">
      <c r="B454" s="49">
        <v>41201</v>
      </c>
      <c r="C454" s="50">
        <v>0.2590277777777778</v>
      </c>
      <c r="D454" s="20">
        <v>79</v>
      </c>
    </row>
    <row r="455" spans="2:4" x14ac:dyDescent="0.25">
      <c r="B455" s="49">
        <v>41201</v>
      </c>
      <c r="C455" s="50">
        <v>0.26319444444444445</v>
      </c>
      <c r="D455" s="20">
        <v>13</v>
      </c>
    </row>
    <row r="456" spans="2:4" x14ac:dyDescent="0.25">
      <c r="B456" s="49">
        <v>41201</v>
      </c>
      <c r="C456" s="50">
        <v>0.26527777777777778</v>
      </c>
      <c r="D456" s="20">
        <v>25</v>
      </c>
    </row>
    <row r="457" spans="2:4" x14ac:dyDescent="0.25">
      <c r="B457" s="49">
        <v>41201</v>
      </c>
      <c r="C457" s="50">
        <v>0.27986111111111112</v>
      </c>
      <c r="D457" s="20">
        <v>317</v>
      </c>
    </row>
    <row r="458" spans="2:4" x14ac:dyDescent="0.25">
      <c r="B458" s="49">
        <v>41201</v>
      </c>
      <c r="C458" s="50">
        <v>0.29652777777777778</v>
      </c>
      <c r="D458" s="20">
        <v>1058</v>
      </c>
    </row>
    <row r="459" spans="2:4" x14ac:dyDescent="0.25">
      <c r="B459" s="49">
        <v>41201</v>
      </c>
      <c r="C459" s="50">
        <v>0.33333333333333331</v>
      </c>
      <c r="D459" s="20">
        <v>61</v>
      </c>
    </row>
    <row r="460" spans="2:4" x14ac:dyDescent="0.25">
      <c r="B460" s="49">
        <v>41201</v>
      </c>
      <c r="C460" s="50">
        <v>0.35555555555555557</v>
      </c>
      <c r="D460" s="20">
        <v>93</v>
      </c>
    </row>
    <row r="461" spans="2:4" x14ac:dyDescent="0.25">
      <c r="B461" s="49">
        <v>41201</v>
      </c>
      <c r="C461" s="50">
        <v>0.39861111111111108</v>
      </c>
      <c r="D461" s="20">
        <v>3345</v>
      </c>
    </row>
    <row r="462" spans="2:4" x14ac:dyDescent="0.25">
      <c r="B462" s="49">
        <v>41201</v>
      </c>
      <c r="C462" s="50">
        <v>0.39999999999999997</v>
      </c>
      <c r="D462" s="20">
        <v>17</v>
      </c>
    </row>
    <row r="463" spans="2:4" x14ac:dyDescent="0.25">
      <c r="B463" s="49">
        <v>41201</v>
      </c>
      <c r="C463" s="50">
        <v>0.40069444444444446</v>
      </c>
      <c r="D463" s="20">
        <v>2023</v>
      </c>
    </row>
    <row r="464" spans="2:4" x14ac:dyDescent="0.25">
      <c r="B464" s="49">
        <v>41201</v>
      </c>
      <c r="C464" s="50">
        <v>0.41111111111111115</v>
      </c>
      <c r="D464" s="20">
        <v>47</v>
      </c>
    </row>
    <row r="465" spans="2:4" x14ac:dyDescent="0.25">
      <c r="B465" s="49">
        <v>41201</v>
      </c>
      <c r="C465" s="50">
        <v>0.44861111111111113</v>
      </c>
      <c r="D465" s="20">
        <v>99</v>
      </c>
    </row>
    <row r="466" spans="2:4" x14ac:dyDescent="0.25">
      <c r="B466" s="49">
        <v>41201</v>
      </c>
      <c r="C466" s="50">
        <v>0.45902777777777781</v>
      </c>
      <c r="D466" s="20">
        <v>3056</v>
      </c>
    </row>
    <row r="467" spans="2:4" x14ac:dyDescent="0.25">
      <c r="B467" s="49">
        <v>41201</v>
      </c>
      <c r="C467" s="50">
        <v>0.49722222222222223</v>
      </c>
      <c r="D467" s="20">
        <v>8</v>
      </c>
    </row>
    <row r="468" spans="2:4" x14ac:dyDescent="0.25">
      <c r="B468" s="49">
        <v>41201</v>
      </c>
      <c r="C468" s="50">
        <v>0.51597222222222217</v>
      </c>
      <c r="D468" s="20">
        <v>4089</v>
      </c>
    </row>
    <row r="469" spans="2:4" x14ac:dyDescent="0.25">
      <c r="B469" s="49">
        <v>41201</v>
      </c>
      <c r="C469" s="50">
        <v>0.55069444444444449</v>
      </c>
      <c r="D469" s="20">
        <v>1074</v>
      </c>
    </row>
    <row r="470" spans="2:4" x14ac:dyDescent="0.25">
      <c r="B470" s="49">
        <v>41201</v>
      </c>
      <c r="C470" s="50">
        <v>0.55069444444444449</v>
      </c>
      <c r="D470" s="20">
        <v>2332</v>
      </c>
    </row>
    <row r="471" spans="2:4" x14ac:dyDescent="0.25">
      <c r="B471" s="49">
        <v>41201</v>
      </c>
      <c r="C471" s="50">
        <v>0.55555555555555558</v>
      </c>
      <c r="D471" s="20">
        <v>50</v>
      </c>
    </row>
    <row r="472" spans="2:4" x14ac:dyDescent="0.25">
      <c r="B472" s="49">
        <v>41201</v>
      </c>
      <c r="C472" s="50">
        <v>0.56458333333333333</v>
      </c>
      <c r="D472" s="20">
        <v>95</v>
      </c>
    </row>
    <row r="473" spans="2:4" x14ac:dyDescent="0.25">
      <c r="B473" s="49">
        <v>41201</v>
      </c>
      <c r="C473" s="50">
        <v>0.56666666666666665</v>
      </c>
      <c r="D473" s="20">
        <v>284</v>
      </c>
    </row>
    <row r="474" spans="2:4" x14ac:dyDescent="0.25">
      <c r="B474" s="49">
        <v>41201</v>
      </c>
      <c r="C474" s="50">
        <v>0.58819444444444446</v>
      </c>
      <c r="D474" s="20">
        <v>3041</v>
      </c>
    </row>
    <row r="475" spans="2:4" x14ac:dyDescent="0.25">
      <c r="B475" s="49">
        <v>41201</v>
      </c>
      <c r="C475" s="50">
        <v>0.60416666666666663</v>
      </c>
      <c r="D475" s="20">
        <v>1094</v>
      </c>
    </row>
    <row r="476" spans="2:4" x14ac:dyDescent="0.25">
      <c r="B476" s="49">
        <v>41201</v>
      </c>
      <c r="C476" s="50">
        <v>0.6166666666666667</v>
      </c>
      <c r="D476" s="20">
        <v>41</v>
      </c>
    </row>
    <row r="477" spans="2:4" x14ac:dyDescent="0.25">
      <c r="B477" s="49">
        <v>41202</v>
      </c>
      <c r="C477" s="50">
        <v>0.48125000000000001</v>
      </c>
      <c r="D477" s="20">
        <v>4050</v>
      </c>
    </row>
    <row r="478" spans="2:4" x14ac:dyDescent="0.25">
      <c r="B478" s="49">
        <v>41202</v>
      </c>
      <c r="C478" s="50">
        <v>0.48402777777777778</v>
      </c>
      <c r="D478" s="20">
        <v>1052</v>
      </c>
    </row>
    <row r="479" spans="2:4" x14ac:dyDescent="0.25">
      <c r="B479" s="49">
        <v>41202</v>
      </c>
      <c r="C479" s="50">
        <v>0.50902777777777775</v>
      </c>
      <c r="D479" s="20">
        <v>391</v>
      </c>
    </row>
    <row r="480" spans="2:4" x14ac:dyDescent="0.25">
      <c r="B480" s="49">
        <v>41202</v>
      </c>
      <c r="C480" s="50">
        <v>0.51597222222222217</v>
      </c>
      <c r="D480" s="20">
        <v>49</v>
      </c>
    </row>
    <row r="481" spans="2:4" x14ac:dyDescent="0.25">
      <c r="B481" s="49">
        <v>41202</v>
      </c>
      <c r="C481" s="50">
        <v>0.53541666666666665</v>
      </c>
      <c r="D481" s="20">
        <v>3458</v>
      </c>
    </row>
    <row r="482" spans="2:4" x14ac:dyDescent="0.25">
      <c r="B482" s="49">
        <v>41202</v>
      </c>
      <c r="C482" s="50">
        <v>0.53541666666666665</v>
      </c>
      <c r="D482" s="20">
        <v>1055</v>
      </c>
    </row>
    <row r="483" spans="2:4" x14ac:dyDescent="0.25">
      <c r="B483" s="49">
        <v>41202</v>
      </c>
      <c r="C483" s="50">
        <v>0.5395833333333333</v>
      </c>
      <c r="D483" s="20">
        <v>129</v>
      </c>
    </row>
    <row r="484" spans="2:4" x14ac:dyDescent="0.25">
      <c r="B484" s="49">
        <v>41202</v>
      </c>
      <c r="C484" s="50">
        <v>0.55694444444444446</v>
      </c>
      <c r="D484" s="20">
        <v>425</v>
      </c>
    </row>
    <row r="485" spans="2:4" x14ac:dyDescent="0.25">
      <c r="B485" s="49">
        <v>41202</v>
      </c>
      <c r="C485" s="50">
        <v>0.59305555555555556</v>
      </c>
      <c r="D485" s="20">
        <v>2007</v>
      </c>
    </row>
    <row r="486" spans="2:4" x14ac:dyDescent="0.25">
      <c r="B486" s="49">
        <v>41202</v>
      </c>
      <c r="C486" s="50">
        <v>0.59444444444444444</v>
      </c>
      <c r="D486" s="20">
        <v>2200</v>
      </c>
    </row>
    <row r="487" spans="2:4" x14ac:dyDescent="0.25">
      <c r="B487" s="49">
        <v>41202</v>
      </c>
      <c r="C487" s="50">
        <v>0.60069444444444442</v>
      </c>
      <c r="D487" s="20">
        <v>274</v>
      </c>
    </row>
    <row r="488" spans="2:4" x14ac:dyDescent="0.25">
      <c r="B488" s="49">
        <v>41202</v>
      </c>
      <c r="C488" s="50">
        <v>0.65625</v>
      </c>
      <c r="D488" s="20">
        <v>14</v>
      </c>
    </row>
    <row r="489" spans="2:4" x14ac:dyDescent="0.25">
      <c r="B489" s="49">
        <v>41202</v>
      </c>
      <c r="C489" s="50">
        <v>0.66041666666666665</v>
      </c>
      <c r="D489" s="20">
        <v>3497</v>
      </c>
    </row>
    <row r="490" spans="2:4" x14ac:dyDescent="0.25">
      <c r="B490" s="49">
        <v>41202</v>
      </c>
      <c r="C490" s="50">
        <v>0.66736111111111107</v>
      </c>
      <c r="D490" s="20">
        <v>2267</v>
      </c>
    </row>
    <row r="491" spans="2:4" x14ac:dyDescent="0.25">
      <c r="B491" s="49">
        <v>41202</v>
      </c>
      <c r="C491" s="50">
        <v>0.68125000000000002</v>
      </c>
      <c r="D491" s="20">
        <v>32</v>
      </c>
    </row>
    <row r="492" spans="2:4" x14ac:dyDescent="0.25">
      <c r="B492" s="49">
        <v>41202</v>
      </c>
      <c r="C492" s="50">
        <v>0.68541666666666667</v>
      </c>
      <c r="D492" s="20">
        <v>347</v>
      </c>
    </row>
    <row r="493" spans="2:4" x14ac:dyDescent="0.25">
      <c r="B493" s="49">
        <v>41202</v>
      </c>
      <c r="C493" s="50">
        <v>0.72291666666666676</v>
      </c>
      <c r="D493" s="20">
        <v>3233</v>
      </c>
    </row>
    <row r="494" spans="2:4" x14ac:dyDescent="0.25">
      <c r="B494" s="49">
        <v>41202</v>
      </c>
      <c r="C494" s="50">
        <v>0.75624999999999998</v>
      </c>
      <c r="D494" s="20">
        <v>77</v>
      </c>
    </row>
    <row r="495" spans="2:4" x14ac:dyDescent="0.25">
      <c r="B495" s="49">
        <v>41202</v>
      </c>
      <c r="C495" s="50">
        <v>0.75624999999999998</v>
      </c>
      <c r="D495" s="20">
        <v>443</v>
      </c>
    </row>
    <row r="496" spans="2:4" x14ac:dyDescent="0.25">
      <c r="B496" s="49">
        <v>41202</v>
      </c>
      <c r="C496" s="50">
        <v>0.83263888888888893</v>
      </c>
      <c r="D496" s="20">
        <v>46</v>
      </c>
    </row>
    <row r="497" spans="2:4" x14ac:dyDescent="0.25">
      <c r="B497" s="49">
        <v>41202</v>
      </c>
      <c r="C497" s="50">
        <v>0.84305555555555556</v>
      </c>
      <c r="D497" s="20">
        <v>2482</v>
      </c>
    </row>
    <row r="498" spans="2:4" x14ac:dyDescent="0.25">
      <c r="B498" s="49">
        <v>41202</v>
      </c>
      <c r="C498" s="50">
        <v>0.8520833333333333</v>
      </c>
      <c r="D498" s="20">
        <v>368</v>
      </c>
    </row>
    <row r="499" spans="2:4" x14ac:dyDescent="0.25">
      <c r="B499" s="49">
        <v>41202</v>
      </c>
      <c r="C499" s="50">
        <v>0.87083333333333324</v>
      </c>
      <c r="D499" s="20">
        <v>3087</v>
      </c>
    </row>
    <row r="500" spans="2:4" x14ac:dyDescent="0.25">
      <c r="B500" s="49">
        <v>41202</v>
      </c>
      <c r="C500" s="50">
        <v>0.88263888888888886</v>
      </c>
      <c r="D500" s="20">
        <v>80</v>
      </c>
    </row>
    <row r="501" spans="2:4" x14ac:dyDescent="0.25">
      <c r="B501" s="49">
        <v>41203</v>
      </c>
      <c r="C501" s="50">
        <v>0.43472222222222223</v>
      </c>
      <c r="D501" s="20">
        <v>4001</v>
      </c>
    </row>
    <row r="502" spans="2:4" x14ac:dyDescent="0.25">
      <c r="B502" s="49">
        <v>41203</v>
      </c>
      <c r="C502" s="50">
        <v>0.4680555555555555</v>
      </c>
      <c r="D502" s="20">
        <v>193</v>
      </c>
    </row>
    <row r="503" spans="2:4" x14ac:dyDescent="0.25">
      <c r="B503" s="49">
        <v>41203</v>
      </c>
      <c r="C503" s="50">
        <v>0.50208333333333333</v>
      </c>
      <c r="D503" s="20">
        <v>2281</v>
      </c>
    </row>
    <row r="504" spans="2:4" x14ac:dyDescent="0.25">
      <c r="B504" s="49">
        <v>41203</v>
      </c>
      <c r="C504" s="50">
        <v>0.51527777777777783</v>
      </c>
      <c r="D504" s="20">
        <v>85</v>
      </c>
    </row>
    <row r="505" spans="2:4" x14ac:dyDescent="0.25">
      <c r="B505" s="49">
        <v>41203</v>
      </c>
      <c r="C505" s="50">
        <v>0.56666666666666665</v>
      </c>
      <c r="D505" s="20">
        <v>4059</v>
      </c>
    </row>
    <row r="506" spans="2:4" x14ac:dyDescent="0.25">
      <c r="B506" s="49">
        <v>41203</v>
      </c>
      <c r="C506" s="50">
        <v>0.57708333333333328</v>
      </c>
      <c r="D506" s="20">
        <v>3008</v>
      </c>
    </row>
    <row r="507" spans="2:4" x14ac:dyDescent="0.25">
      <c r="B507" s="49">
        <v>41203</v>
      </c>
      <c r="C507" s="50">
        <v>0.60625000000000007</v>
      </c>
      <c r="D507" s="20">
        <v>26</v>
      </c>
    </row>
    <row r="508" spans="2:4" x14ac:dyDescent="0.25">
      <c r="B508" s="49">
        <v>41203</v>
      </c>
      <c r="C508" s="50">
        <v>0.62291666666666667</v>
      </c>
      <c r="D508" s="20">
        <v>1082</v>
      </c>
    </row>
    <row r="509" spans="2:4" x14ac:dyDescent="0.25">
      <c r="B509" s="49">
        <v>41203</v>
      </c>
      <c r="C509" s="50">
        <v>0.62708333333333333</v>
      </c>
      <c r="D509" s="20">
        <v>2047</v>
      </c>
    </row>
    <row r="510" spans="2:4" x14ac:dyDescent="0.25">
      <c r="B510" s="49">
        <v>41203</v>
      </c>
      <c r="C510" s="50">
        <v>0.6430555555555556</v>
      </c>
      <c r="D510" s="20">
        <v>4059</v>
      </c>
    </row>
    <row r="511" spans="2:4" x14ac:dyDescent="0.25">
      <c r="B511" s="49">
        <v>41203</v>
      </c>
      <c r="C511" s="50">
        <v>0.64722222222222225</v>
      </c>
      <c r="D511" s="20">
        <v>2020</v>
      </c>
    </row>
    <row r="512" spans="2:4" x14ac:dyDescent="0.25">
      <c r="B512" s="49">
        <v>41203</v>
      </c>
      <c r="C512" s="50">
        <v>0.64930555555555558</v>
      </c>
      <c r="D512" s="20">
        <v>191</v>
      </c>
    </row>
    <row r="513" spans="2:4" x14ac:dyDescent="0.25">
      <c r="B513" s="49">
        <v>41203</v>
      </c>
      <c r="C513" s="50">
        <v>0.66180555555555554</v>
      </c>
      <c r="D513" s="20">
        <v>147</v>
      </c>
    </row>
    <row r="514" spans="2:4" x14ac:dyDescent="0.25">
      <c r="B514" s="49">
        <v>41203</v>
      </c>
      <c r="C514" s="50">
        <v>0.67569444444444438</v>
      </c>
      <c r="D514" s="20">
        <v>17</v>
      </c>
    </row>
    <row r="515" spans="2:4" x14ac:dyDescent="0.25">
      <c r="B515" s="49">
        <v>41203</v>
      </c>
      <c r="C515" s="50">
        <v>0.73333333333333339</v>
      </c>
      <c r="D515" s="20">
        <v>4086</v>
      </c>
    </row>
    <row r="516" spans="2:4" x14ac:dyDescent="0.25">
      <c r="B516" s="49">
        <v>41203</v>
      </c>
      <c r="C516" s="50">
        <v>0.75416666666666676</v>
      </c>
      <c r="D516" s="20">
        <v>67</v>
      </c>
    </row>
    <row r="517" spans="2:4" x14ac:dyDescent="0.25">
      <c r="B517" s="49">
        <v>41203</v>
      </c>
      <c r="C517" s="50">
        <v>0.75694444444444453</v>
      </c>
      <c r="D517" s="20">
        <v>120</v>
      </c>
    </row>
    <row r="518" spans="2:4" x14ac:dyDescent="0.25">
      <c r="B518" s="49">
        <v>41203</v>
      </c>
      <c r="C518" s="50">
        <v>0.76180555555555562</v>
      </c>
      <c r="D518" s="20">
        <v>1015</v>
      </c>
    </row>
    <row r="519" spans="2:4" x14ac:dyDescent="0.25">
      <c r="B519" s="49">
        <v>41203</v>
      </c>
      <c r="C519" s="50">
        <v>0.77361111111111114</v>
      </c>
      <c r="D519" s="20">
        <v>4163</v>
      </c>
    </row>
    <row r="520" spans="2:4" x14ac:dyDescent="0.25">
      <c r="B520" s="49">
        <v>41203</v>
      </c>
      <c r="C520" s="50">
        <v>0.78333333333333333</v>
      </c>
      <c r="D520" s="20">
        <v>123</v>
      </c>
    </row>
    <row r="521" spans="2:4" x14ac:dyDescent="0.25">
      <c r="B521" s="49">
        <v>41204</v>
      </c>
      <c r="C521" s="50">
        <v>0.4284722222222222</v>
      </c>
      <c r="D521" s="20">
        <v>1044</v>
      </c>
    </row>
    <row r="522" spans="2:4" x14ac:dyDescent="0.25">
      <c r="B522" s="49">
        <v>41204</v>
      </c>
      <c r="C522" s="50">
        <v>0.48888888888888887</v>
      </c>
      <c r="D522" s="20">
        <v>3067</v>
      </c>
    </row>
    <row r="523" spans="2:4" x14ac:dyDescent="0.25">
      <c r="B523" s="49">
        <v>41204</v>
      </c>
      <c r="C523" s="50">
        <v>0.5</v>
      </c>
      <c r="D523" s="20">
        <v>35</v>
      </c>
    </row>
    <row r="524" spans="2:4" x14ac:dyDescent="0.25">
      <c r="B524" s="49">
        <v>41204</v>
      </c>
      <c r="C524" s="50">
        <v>0.51736111111111105</v>
      </c>
      <c r="D524" s="20">
        <v>167</v>
      </c>
    </row>
    <row r="525" spans="2:4" x14ac:dyDescent="0.25">
      <c r="B525" s="49">
        <v>41204</v>
      </c>
      <c r="C525" s="50">
        <v>0.53402777777777777</v>
      </c>
      <c r="D525" s="20">
        <v>166</v>
      </c>
    </row>
    <row r="526" spans="2:4" x14ac:dyDescent="0.25">
      <c r="B526" s="49">
        <v>41204</v>
      </c>
      <c r="C526" s="50">
        <v>0.56388888888888888</v>
      </c>
      <c r="D526" s="20">
        <v>1067</v>
      </c>
    </row>
    <row r="527" spans="2:4" x14ac:dyDescent="0.25">
      <c r="B527" s="49">
        <v>41204</v>
      </c>
      <c r="C527" s="50">
        <v>0.61111111111111105</v>
      </c>
      <c r="D527" s="20">
        <v>3034</v>
      </c>
    </row>
    <row r="528" spans="2:4" x14ac:dyDescent="0.25">
      <c r="B528" s="49">
        <v>41204</v>
      </c>
      <c r="C528" s="50">
        <v>0.63055555555555554</v>
      </c>
      <c r="D528" s="20">
        <v>2025</v>
      </c>
    </row>
    <row r="529" spans="2:4" x14ac:dyDescent="0.25">
      <c r="B529" s="49">
        <v>41204</v>
      </c>
      <c r="C529" s="50">
        <v>0.63124999999999998</v>
      </c>
      <c r="D529" s="20">
        <v>2019</v>
      </c>
    </row>
    <row r="530" spans="2:4" x14ac:dyDescent="0.25">
      <c r="B530" s="49">
        <v>41204</v>
      </c>
      <c r="C530" s="50">
        <v>0.64166666666666672</v>
      </c>
      <c r="D530" s="20">
        <v>1390</v>
      </c>
    </row>
    <row r="531" spans="2:4" x14ac:dyDescent="0.25">
      <c r="B531" s="49">
        <v>41204</v>
      </c>
      <c r="C531" s="50">
        <v>0.64930555555555558</v>
      </c>
      <c r="D531" s="20">
        <v>48</v>
      </c>
    </row>
    <row r="532" spans="2:4" x14ac:dyDescent="0.25">
      <c r="B532" s="49">
        <v>41204</v>
      </c>
      <c r="C532" s="50">
        <v>0.64930555555555558</v>
      </c>
      <c r="D532" s="20">
        <v>1002</v>
      </c>
    </row>
    <row r="533" spans="2:4" x14ac:dyDescent="0.25">
      <c r="B533" s="49">
        <v>41204</v>
      </c>
      <c r="C533" s="50">
        <v>0.66666666666666663</v>
      </c>
      <c r="D533" s="20">
        <v>3060</v>
      </c>
    </row>
    <row r="534" spans="2:4" x14ac:dyDescent="0.25">
      <c r="B534" s="49">
        <v>41204</v>
      </c>
      <c r="C534" s="50">
        <v>0.70138888888888884</v>
      </c>
      <c r="D534" s="20">
        <v>335</v>
      </c>
    </row>
    <row r="535" spans="2:4" x14ac:dyDescent="0.25">
      <c r="B535" s="49">
        <v>41204</v>
      </c>
      <c r="C535" s="50">
        <v>0.70486111111111116</v>
      </c>
      <c r="D535" s="20">
        <v>54</v>
      </c>
    </row>
    <row r="536" spans="2:4" x14ac:dyDescent="0.25">
      <c r="B536" s="49">
        <v>41204</v>
      </c>
      <c r="C536" s="50">
        <v>0.72361111111111109</v>
      </c>
      <c r="D536" s="20">
        <v>2008</v>
      </c>
    </row>
    <row r="537" spans="2:4" x14ac:dyDescent="0.25">
      <c r="B537" s="49">
        <v>41204</v>
      </c>
      <c r="C537" s="50">
        <v>0.78819444444444453</v>
      </c>
      <c r="D537" s="20">
        <v>140</v>
      </c>
    </row>
    <row r="538" spans="2:4" x14ac:dyDescent="0.25">
      <c r="B538" s="49">
        <v>41204</v>
      </c>
      <c r="C538" s="50">
        <v>0.82986111111111116</v>
      </c>
      <c r="D538" s="20">
        <v>34</v>
      </c>
    </row>
    <row r="539" spans="2:4" x14ac:dyDescent="0.25">
      <c r="B539" s="49">
        <v>41204</v>
      </c>
      <c r="C539" s="50">
        <v>0.83958333333333324</v>
      </c>
      <c r="D539" s="20">
        <v>96</v>
      </c>
    </row>
    <row r="540" spans="2:4" x14ac:dyDescent="0.25">
      <c r="B540" s="49">
        <v>41204</v>
      </c>
      <c r="C540" s="50">
        <v>0.85277777777777775</v>
      </c>
      <c r="D540" s="20">
        <v>63</v>
      </c>
    </row>
    <row r="541" spans="2:4" x14ac:dyDescent="0.25">
      <c r="B541" s="49">
        <v>41204</v>
      </c>
      <c r="C541" s="50">
        <v>0.86388888888888893</v>
      </c>
      <c r="D541" s="20">
        <v>108</v>
      </c>
    </row>
    <row r="542" spans="2:4" x14ac:dyDescent="0.25">
      <c r="B542" s="49">
        <v>41204</v>
      </c>
      <c r="C542" s="50">
        <v>0.89166666666666661</v>
      </c>
      <c r="D542" s="20">
        <v>88</v>
      </c>
    </row>
    <row r="543" spans="2:4" x14ac:dyDescent="0.25">
      <c r="B543" s="49">
        <v>41204</v>
      </c>
      <c r="C543" s="50">
        <v>0.9277777777777777</v>
      </c>
      <c r="D543" s="20">
        <v>1220</v>
      </c>
    </row>
    <row r="544" spans="2:4" x14ac:dyDescent="0.25">
      <c r="B544" s="49">
        <v>41204</v>
      </c>
      <c r="C544" s="50">
        <v>0.93333333333333324</v>
      </c>
      <c r="D544" s="20">
        <v>485</v>
      </c>
    </row>
    <row r="545" spans="2:4" x14ac:dyDescent="0.25">
      <c r="B545" s="49">
        <v>41204</v>
      </c>
      <c r="C545" s="50">
        <v>0.97152777777777777</v>
      </c>
      <c r="D545" s="20">
        <v>18</v>
      </c>
    </row>
    <row r="546" spans="2:4" x14ac:dyDescent="0.25">
      <c r="B546" s="49">
        <v>41204</v>
      </c>
      <c r="C546" s="50">
        <v>0.97291666666666676</v>
      </c>
      <c r="D546" s="20">
        <v>3086</v>
      </c>
    </row>
    <row r="547" spans="2:4" x14ac:dyDescent="0.25">
      <c r="B547" s="49">
        <v>41204</v>
      </c>
      <c r="C547" s="50">
        <v>0.9784722222222223</v>
      </c>
      <c r="D547" s="20">
        <v>34</v>
      </c>
    </row>
    <row r="548" spans="2:4" x14ac:dyDescent="0.25">
      <c r="B548" s="49">
        <v>41205</v>
      </c>
      <c r="C548" s="50">
        <v>0.3833333333333333</v>
      </c>
      <c r="D548" s="20">
        <v>386</v>
      </c>
    </row>
    <row r="549" spans="2:4" x14ac:dyDescent="0.25">
      <c r="B549" s="49">
        <v>41205</v>
      </c>
      <c r="C549" s="50">
        <v>0.41388888888888892</v>
      </c>
      <c r="D549" s="20">
        <v>58</v>
      </c>
    </row>
    <row r="550" spans="2:4" x14ac:dyDescent="0.25">
      <c r="B550" s="49">
        <v>41205</v>
      </c>
      <c r="C550" s="50">
        <v>0.4201388888888889</v>
      </c>
      <c r="D550" s="20">
        <v>24</v>
      </c>
    </row>
    <row r="551" spans="2:4" x14ac:dyDescent="0.25">
      <c r="B551" s="49">
        <v>41205</v>
      </c>
      <c r="C551" s="50">
        <v>0.42986111111111108</v>
      </c>
      <c r="D551" s="20">
        <v>453</v>
      </c>
    </row>
    <row r="552" spans="2:4" x14ac:dyDescent="0.25">
      <c r="B552" s="49">
        <v>41205</v>
      </c>
      <c r="C552" s="50">
        <v>0.45902777777777781</v>
      </c>
      <c r="D552" s="20">
        <v>2498</v>
      </c>
    </row>
    <row r="553" spans="2:4" x14ac:dyDescent="0.25">
      <c r="B553" s="49">
        <v>41205</v>
      </c>
      <c r="C553" s="50">
        <v>0.4604166666666667</v>
      </c>
      <c r="D553" s="20">
        <v>32</v>
      </c>
    </row>
    <row r="554" spans="2:4" x14ac:dyDescent="0.25">
      <c r="B554" s="49">
        <v>41205</v>
      </c>
      <c r="C554" s="50">
        <v>0.53125</v>
      </c>
      <c r="D554" s="20">
        <v>67</v>
      </c>
    </row>
    <row r="555" spans="2:4" x14ac:dyDescent="0.25">
      <c r="B555" s="49">
        <v>41205</v>
      </c>
      <c r="C555" s="50">
        <v>0.54583333333333328</v>
      </c>
      <c r="D555" s="20">
        <v>20</v>
      </c>
    </row>
    <row r="556" spans="2:4" x14ac:dyDescent="0.25">
      <c r="B556" s="49">
        <v>41205</v>
      </c>
      <c r="C556" s="50">
        <v>0.56805555555555554</v>
      </c>
      <c r="D556" s="20">
        <v>1072</v>
      </c>
    </row>
    <row r="557" spans="2:4" x14ac:dyDescent="0.25">
      <c r="B557" s="49">
        <v>41205</v>
      </c>
      <c r="C557" s="50">
        <v>0.5708333333333333</v>
      </c>
      <c r="D557" s="20">
        <v>15</v>
      </c>
    </row>
    <row r="558" spans="2:4" x14ac:dyDescent="0.25">
      <c r="B558" s="49">
        <v>41205</v>
      </c>
      <c r="C558" s="50">
        <v>0.59652777777777777</v>
      </c>
      <c r="D558" s="20">
        <v>91</v>
      </c>
    </row>
    <row r="559" spans="2:4" x14ac:dyDescent="0.25">
      <c r="B559" s="49">
        <v>41205</v>
      </c>
      <c r="C559" s="50">
        <v>0.60416666666666663</v>
      </c>
      <c r="D559" s="20">
        <v>62</v>
      </c>
    </row>
    <row r="560" spans="2:4" x14ac:dyDescent="0.25">
      <c r="B560" s="49">
        <v>41205</v>
      </c>
      <c r="C560" s="50">
        <v>0.61111111111111105</v>
      </c>
      <c r="D560" s="20">
        <v>16</v>
      </c>
    </row>
    <row r="561" spans="2:4" x14ac:dyDescent="0.25">
      <c r="B561" s="49">
        <v>41205</v>
      </c>
      <c r="C561" s="50">
        <v>0.65555555555555556</v>
      </c>
      <c r="D561" s="20">
        <v>458</v>
      </c>
    </row>
    <row r="562" spans="2:4" x14ac:dyDescent="0.25">
      <c r="B562" s="49">
        <v>41205</v>
      </c>
      <c r="C562" s="50">
        <v>0.68333333333333324</v>
      </c>
      <c r="D562" s="20">
        <v>80</v>
      </c>
    </row>
    <row r="563" spans="2:4" x14ac:dyDescent="0.25">
      <c r="B563" s="49">
        <v>41205</v>
      </c>
      <c r="C563" s="50">
        <v>0.69097222222222221</v>
      </c>
      <c r="D563" s="20">
        <v>4377</v>
      </c>
    </row>
    <row r="564" spans="2:4" x14ac:dyDescent="0.25">
      <c r="B564" s="49">
        <v>41205</v>
      </c>
      <c r="C564" s="50">
        <v>0.71388888888888891</v>
      </c>
      <c r="D564" s="20">
        <v>3349</v>
      </c>
    </row>
    <row r="565" spans="2:4" x14ac:dyDescent="0.25">
      <c r="B565" s="49">
        <v>41205</v>
      </c>
      <c r="C565" s="50">
        <v>0.73472222222222217</v>
      </c>
      <c r="D565" s="20">
        <v>2329</v>
      </c>
    </row>
    <row r="566" spans="2:4" x14ac:dyDescent="0.25">
      <c r="B566" s="49">
        <v>41205</v>
      </c>
      <c r="C566" s="50">
        <v>0.74583333333333324</v>
      </c>
      <c r="D566" s="20">
        <v>68</v>
      </c>
    </row>
    <row r="567" spans="2:4" x14ac:dyDescent="0.25">
      <c r="B567" s="49">
        <v>41205</v>
      </c>
      <c r="C567" s="50">
        <v>0.77916666666666667</v>
      </c>
      <c r="D567" s="20">
        <v>1020</v>
      </c>
    </row>
    <row r="568" spans="2:4" x14ac:dyDescent="0.25">
      <c r="B568" s="49">
        <v>41206</v>
      </c>
      <c r="C568" s="50">
        <v>0.34097222222222223</v>
      </c>
      <c r="D568" s="20">
        <v>2070</v>
      </c>
    </row>
    <row r="569" spans="2:4" x14ac:dyDescent="0.25">
      <c r="B569" s="49">
        <v>41206</v>
      </c>
      <c r="C569" s="50">
        <v>0.3576388888888889</v>
      </c>
      <c r="D569" s="20">
        <v>39</v>
      </c>
    </row>
    <row r="570" spans="2:4" x14ac:dyDescent="0.25">
      <c r="B570" s="49">
        <v>41206</v>
      </c>
      <c r="C570" s="50">
        <v>0.35902777777777778</v>
      </c>
      <c r="D570" s="20">
        <v>4093</v>
      </c>
    </row>
    <row r="571" spans="2:4" x14ac:dyDescent="0.25">
      <c r="B571" s="49">
        <v>41206</v>
      </c>
      <c r="C571" s="50">
        <v>0.37222222222222223</v>
      </c>
      <c r="D571" s="20">
        <v>405</v>
      </c>
    </row>
    <row r="572" spans="2:4" x14ac:dyDescent="0.25">
      <c r="B572" s="49">
        <v>41206</v>
      </c>
      <c r="C572" s="50">
        <v>0.38680555555555557</v>
      </c>
      <c r="D572" s="20">
        <v>217</v>
      </c>
    </row>
    <row r="573" spans="2:4" x14ac:dyDescent="0.25">
      <c r="B573" s="49">
        <v>41206</v>
      </c>
      <c r="C573" s="50">
        <v>0.40625</v>
      </c>
      <c r="D573" s="20">
        <v>4062</v>
      </c>
    </row>
    <row r="574" spans="2:4" x14ac:dyDescent="0.25">
      <c r="B574" s="49">
        <v>41206</v>
      </c>
      <c r="C574" s="50">
        <v>0.41388888888888892</v>
      </c>
      <c r="D574" s="20">
        <v>96</v>
      </c>
    </row>
    <row r="575" spans="2:4" x14ac:dyDescent="0.25">
      <c r="B575" s="49">
        <v>41206</v>
      </c>
      <c r="C575" s="50">
        <v>0.4145833333333333</v>
      </c>
      <c r="D575" s="20">
        <v>427</v>
      </c>
    </row>
    <row r="576" spans="2:4" x14ac:dyDescent="0.25">
      <c r="B576" s="49">
        <v>41206</v>
      </c>
      <c r="C576" s="50">
        <v>0.45208333333333334</v>
      </c>
      <c r="D576" s="20">
        <v>46</v>
      </c>
    </row>
    <row r="577" spans="2:4" x14ac:dyDescent="0.25">
      <c r="B577" s="49">
        <v>41206</v>
      </c>
      <c r="C577" s="50">
        <v>0.4861111111111111</v>
      </c>
      <c r="D577" s="20">
        <v>83</v>
      </c>
    </row>
    <row r="578" spans="2:4" x14ac:dyDescent="0.25">
      <c r="B578" s="49">
        <v>41206</v>
      </c>
      <c r="C578" s="50">
        <v>0.53611111111111109</v>
      </c>
      <c r="D578" s="20">
        <v>4</v>
      </c>
    </row>
    <row r="579" spans="2:4" x14ac:dyDescent="0.25">
      <c r="B579" s="49">
        <v>41206</v>
      </c>
      <c r="C579" s="50">
        <v>0.54513888888888895</v>
      </c>
      <c r="D579" s="20">
        <v>421</v>
      </c>
    </row>
    <row r="580" spans="2:4" x14ac:dyDescent="0.25">
      <c r="B580" s="49">
        <v>41206</v>
      </c>
      <c r="C580" s="50">
        <v>0.55902777777777779</v>
      </c>
      <c r="D580" s="20">
        <v>1073</v>
      </c>
    </row>
    <row r="581" spans="2:4" x14ac:dyDescent="0.25">
      <c r="B581" s="49">
        <v>41206</v>
      </c>
      <c r="C581" s="50">
        <v>0.56388888888888888</v>
      </c>
      <c r="D581" s="20">
        <v>389</v>
      </c>
    </row>
    <row r="582" spans="2:4" x14ac:dyDescent="0.25">
      <c r="B582" s="49">
        <v>41206</v>
      </c>
      <c r="C582" s="50">
        <v>0.59513888888888888</v>
      </c>
      <c r="D582" s="20">
        <v>4141</v>
      </c>
    </row>
    <row r="583" spans="2:4" x14ac:dyDescent="0.25">
      <c r="B583" s="49">
        <v>41206</v>
      </c>
      <c r="C583" s="50">
        <v>0.62152777777777779</v>
      </c>
      <c r="D583" s="20">
        <v>127</v>
      </c>
    </row>
    <row r="584" spans="2:4" x14ac:dyDescent="0.25">
      <c r="B584" s="49">
        <v>41206</v>
      </c>
      <c r="C584" s="50">
        <v>0.62986111111111109</v>
      </c>
      <c r="D584" s="20">
        <v>3070</v>
      </c>
    </row>
    <row r="585" spans="2:4" x14ac:dyDescent="0.25">
      <c r="B585" s="49">
        <v>41206</v>
      </c>
      <c r="C585" s="50">
        <v>0.6694444444444444</v>
      </c>
      <c r="D585" s="20">
        <v>3152</v>
      </c>
    </row>
    <row r="586" spans="2:4" x14ac:dyDescent="0.25">
      <c r="B586" s="49">
        <v>41206</v>
      </c>
      <c r="C586" s="50">
        <v>0.70208333333333339</v>
      </c>
      <c r="D586" s="20">
        <v>310</v>
      </c>
    </row>
    <row r="587" spans="2:4" x14ac:dyDescent="0.25">
      <c r="B587" s="49">
        <v>41206</v>
      </c>
      <c r="C587" s="50">
        <v>0.71875</v>
      </c>
      <c r="D587" s="20">
        <v>39</v>
      </c>
    </row>
    <row r="588" spans="2:4" x14ac:dyDescent="0.25">
      <c r="B588" s="49">
        <v>41206</v>
      </c>
      <c r="C588" s="50">
        <v>0.75902777777777775</v>
      </c>
      <c r="D588" s="20">
        <v>312</v>
      </c>
    </row>
    <row r="589" spans="2:4" x14ac:dyDescent="0.25">
      <c r="B589" s="49">
        <v>41206</v>
      </c>
      <c r="C589" s="50">
        <v>0.77916666666666667</v>
      </c>
      <c r="D589" s="20">
        <v>160</v>
      </c>
    </row>
    <row r="590" spans="2:4" x14ac:dyDescent="0.25">
      <c r="B590" s="49">
        <v>41206</v>
      </c>
      <c r="C590" s="50">
        <v>0.79027777777777775</v>
      </c>
      <c r="D590" s="20">
        <v>66</v>
      </c>
    </row>
    <row r="591" spans="2:4" x14ac:dyDescent="0.25">
      <c r="B591" s="49">
        <v>41206</v>
      </c>
      <c r="C591" s="50">
        <v>0.80069444444444438</v>
      </c>
      <c r="D591" s="20">
        <v>4053</v>
      </c>
    </row>
    <row r="592" spans="2:4" x14ac:dyDescent="0.25">
      <c r="B592" s="49">
        <v>41206</v>
      </c>
      <c r="C592" s="50">
        <v>0.80833333333333324</v>
      </c>
      <c r="D592" s="20">
        <v>1072</v>
      </c>
    </row>
    <row r="593" spans="2:4" x14ac:dyDescent="0.25">
      <c r="B593" s="49">
        <v>41206</v>
      </c>
      <c r="C593" s="50">
        <v>0.81319444444444444</v>
      </c>
      <c r="D593" s="20">
        <v>4066</v>
      </c>
    </row>
    <row r="594" spans="2:4" x14ac:dyDescent="0.25">
      <c r="B594" s="49">
        <v>41206</v>
      </c>
      <c r="C594" s="50">
        <v>0.8618055555555556</v>
      </c>
      <c r="D594" s="20">
        <v>82</v>
      </c>
    </row>
    <row r="595" spans="2:4" x14ac:dyDescent="0.25">
      <c r="B595" s="49">
        <v>41206</v>
      </c>
      <c r="C595" s="50">
        <v>0.86875000000000002</v>
      </c>
      <c r="D595" s="20">
        <v>2081</v>
      </c>
    </row>
    <row r="596" spans="2:4" x14ac:dyDescent="0.25">
      <c r="B596" s="49">
        <v>41206</v>
      </c>
      <c r="C596" s="50">
        <v>0.88611111111111107</v>
      </c>
      <c r="D596" s="20">
        <v>85</v>
      </c>
    </row>
    <row r="597" spans="2:4" x14ac:dyDescent="0.25">
      <c r="B597" s="49">
        <v>41206</v>
      </c>
      <c r="C597" s="50">
        <v>0.91666666666666663</v>
      </c>
      <c r="D597" s="20">
        <v>1337</v>
      </c>
    </row>
    <row r="598" spans="2:4" x14ac:dyDescent="0.25">
      <c r="B598" s="49">
        <v>41206</v>
      </c>
      <c r="C598" s="50">
        <v>0.95208333333333339</v>
      </c>
      <c r="D598" s="20">
        <v>4396</v>
      </c>
    </row>
    <row r="599" spans="2:4" x14ac:dyDescent="0.25">
      <c r="B599" s="49">
        <v>41206</v>
      </c>
      <c r="C599" s="50">
        <v>0.97430555555555554</v>
      </c>
      <c r="D599" s="20">
        <v>52</v>
      </c>
    </row>
    <row r="600" spans="2:4" x14ac:dyDescent="0.25">
      <c r="B600" s="49">
        <v>41206</v>
      </c>
      <c r="C600" s="50">
        <v>0.97569444444444453</v>
      </c>
      <c r="D600" s="20">
        <v>3479</v>
      </c>
    </row>
    <row r="601" spans="2:4" x14ac:dyDescent="0.25">
      <c r="B601" s="49">
        <v>41206</v>
      </c>
      <c r="C601" s="50">
        <v>0.98958333333333337</v>
      </c>
      <c r="D601" s="20">
        <v>75</v>
      </c>
    </row>
    <row r="602" spans="2:4" x14ac:dyDescent="0.25">
      <c r="B602" s="49">
        <v>41206</v>
      </c>
      <c r="C602" s="50">
        <v>0.99097222222222225</v>
      </c>
      <c r="D602" s="20">
        <v>92</v>
      </c>
    </row>
    <row r="603" spans="2:4" x14ac:dyDescent="0.25">
      <c r="B603" s="49">
        <v>41206</v>
      </c>
      <c r="C603" s="50">
        <v>0.99722222222222223</v>
      </c>
      <c r="D603" s="20">
        <v>9</v>
      </c>
    </row>
    <row r="604" spans="2:4" x14ac:dyDescent="0.25">
      <c r="B604" s="49">
        <v>41207</v>
      </c>
      <c r="C604" s="50">
        <v>0.32847222222222222</v>
      </c>
      <c r="D604" s="20">
        <v>4297</v>
      </c>
    </row>
    <row r="605" spans="2:4" x14ac:dyDescent="0.25">
      <c r="B605" s="49">
        <v>41207</v>
      </c>
      <c r="C605" s="50">
        <v>0.33958333333333335</v>
      </c>
      <c r="D605" s="20">
        <v>1077</v>
      </c>
    </row>
    <row r="606" spans="2:4" x14ac:dyDescent="0.25">
      <c r="B606" s="49">
        <v>41207</v>
      </c>
      <c r="C606" s="50">
        <v>0.38958333333333334</v>
      </c>
      <c r="D606" s="20">
        <v>4051</v>
      </c>
    </row>
    <row r="607" spans="2:4" x14ac:dyDescent="0.25">
      <c r="B607" s="49">
        <v>41207</v>
      </c>
      <c r="C607" s="50">
        <v>0.43124999999999997</v>
      </c>
      <c r="D607" s="20">
        <v>49</v>
      </c>
    </row>
    <row r="608" spans="2:4" x14ac:dyDescent="0.25">
      <c r="B608" s="49">
        <v>41207</v>
      </c>
      <c r="C608" s="50">
        <v>0.46666666666666662</v>
      </c>
      <c r="D608" s="20">
        <v>4</v>
      </c>
    </row>
    <row r="609" spans="2:4" x14ac:dyDescent="0.25">
      <c r="B609" s="49">
        <v>41207</v>
      </c>
      <c r="C609" s="50">
        <v>0.49444444444444446</v>
      </c>
      <c r="D609" s="20">
        <v>151</v>
      </c>
    </row>
    <row r="610" spans="2:4" x14ac:dyDescent="0.25">
      <c r="B610" s="49">
        <v>41207</v>
      </c>
      <c r="C610" s="50">
        <v>0.49583333333333335</v>
      </c>
      <c r="D610" s="20">
        <v>335</v>
      </c>
    </row>
    <row r="611" spans="2:4" x14ac:dyDescent="0.25">
      <c r="B611" s="49">
        <v>41207</v>
      </c>
      <c r="C611" s="50">
        <v>0.50347222222222221</v>
      </c>
      <c r="D611" s="20">
        <v>58</v>
      </c>
    </row>
    <row r="612" spans="2:4" x14ac:dyDescent="0.25">
      <c r="B612" s="49">
        <v>41207</v>
      </c>
      <c r="C612" s="50">
        <v>0.50486111111111109</v>
      </c>
      <c r="D612" s="20">
        <v>4105</v>
      </c>
    </row>
    <row r="613" spans="2:4" x14ac:dyDescent="0.25">
      <c r="B613" s="49">
        <v>41207</v>
      </c>
      <c r="C613" s="50">
        <v>0.51041666666666663</v>
      </c>
      <c r="D613" s="20">
        <v>83</v>
      </c>
    </row>
    <row r="614" spans="2:4" x14ac:dyDescent="0.25">
      <c r="B614" s="49">
        <v>41207</v>
      </c>
      <c r="C614" s="50">
        <v>0.51736111111111105</v>
      </c>
      <c r="D614" s="20">
        <v>272</v>
      </c>
    </row>
    <row r="615" spans="2:4" x14ac:dyDescent="0.25">
      <c r="B615" s="49">
        <v>41207</v>
      </c>
      <c r="C615" s="50">
        <v>0.5541666666666667</v>
      </c>
      <c r="D615" s="20">
        <v>2053</v>
      </c>
    </row>
    <row r="616" spans="2:4" x14ac:dyDescent="0.25">
      <c r="B616" s="49">
        <v>41207</v>
      </c>
      <c r="C616" s="50">
        <v>0.56527777777777777</v>
      </c>
      <c r="D616" s="20">
        <v>2096</v>
      </c>
    </row>
    <row r="617" spans="2:4" x14ac:dyDescent="0.25">
      <c r="B617" s="49">
        <v>41207</v>
      </c>
      <c r="C617" s="50">
        <v>0.60555555555555551</v>
      </c>
      <c r="D617" s="20">
        <v>1054</v>
      </c>
    </row>
    <row r="618" spans="2:4" x14ac:dyDescent="0.25">
      <c r="B618" s="49">
        <v>41207</v>
      </c>
      <c r="C618" s="50">
        <v>0.62291666666666667</v>
      </c>
      <c r="D618" s="20">
        <v>4292</v>
      </c>
    </row>
    <row r="619" spans="2:4" x14ac:dyDescent="0.25">
      <c r="B619" s="49">
        <v>41207</v>
      </c>
      <c r="C619" s="50">
        <v>0.65833333333333333</v>
      </c>
      <c r="D619" s="20">
        <v>35</v>
      </c>
    </row>
    <row r="620" spans="2:4" x14ac:dyDescent="0.25">
      <c r="B620" s="49">
        <v>41207</v>
      </c>
      <c r="C620" s="50">
        <v>0.67986111111111114</v>
      </c>
      <c r="D620" s="20">
        <v>397</v>
      </c>
    </row>
    <row r="621" spans="2:4" x14ac:dyDescent="0.25">
      <c r="B621" s="49">
        <v>41207</v>
      </c>
      <c r="C621" s="50">
        <v>0.71319444444444446</v>
      </c>
      <c r="D621" s="20">
        <v>90</v>
      </c>
    </row>
    <row r="622" spans="2:4" x14ac:dyDescent="0.25">
      <c r="B622" s="49">
        <v>41207</v>
      </c>
      <c r="C622" s="50">
        <v>0.75138888888888899</v>
      </c>
      <c r="D622" s="20">
        <v>18</v>
      </c>
    </row>
    <row r="623" spans="2:4" x14ac:dyDescent="0.25">
      <c r="B623" s="49">
        <v>41207</v>
      </c>
      <c r="C623" s="50">
        <v>0.78402777777777777</v>
      </c>
      <c r="D623" s="20">
        <v>10</v>
      </c>
    </row>
    <row r="624" spans="2:4" x14ac:dyDescent="0.25">
      <c r="B624" s="49">
        <v>41207</v>
      </c>
      <c r="C624" s="50">
        <v>0.81111111111111101</v>
      </c>
      <c r="D624" s="20">
        <v>3040</v>
      </c>
    </row>
    <row r="625" spans="2:4" x14ac:dyDescent="0.25">
      <c r="B625" s="49">
        <v>41207</v>
      </c>
      <c r="C625" s="50">
        <v>0.81666666666666676</v>
      </c>
      <c r="D625" s="20">
        <v>8</v>
      </c>
    </row>
    <row r="626" spans="2:4" x14ac:dyDescent="0.25">
      <c r="B626" s="49">
        <v>41207</v>
      </c>
      <c r="C626" s="50">
        <v>0.8569444444444444</v>
      </c>
      <c r="D626" s="20">
        <v>43</v>
      </c>
    </row>
    <row r="627" spans="2:4" x14ac:dyDescent="0.25">
      <c r="B627" s="49">
        <v>41207</v>
      </c>
      <c r="C627" s="50">
        <v>0.8652777777777777</v>
      </c>
      <c r="D627" s="20">
        <v>3094</v>
      </c>
    </row>
    <row r="628" spans="2:4" x14ac:dyDescent="0.25">
      <c r="B628" s="49">
        <v>41207</v>
      </c>
      <c r="C628" s="50">
        <v>0.8979166666666667</v>
      </c>
      <c r="D628" s="20">
        <v>36</v>
      </c>
    </row>
    <row r="629" spans="2:4" x14ac:dyDescent="0.25">
      <c r="B629" s="49">
        <v>41208</v>
      </c>
      <c r="C629" s="50">
        <v>0.53819444444444442</v>
      </c>
      <c r="D629" s="20">
        <v>32</v>
      </c>
    </row>
    <row r="630" spans="2:4" x14ac:dyDescent="0.25">
      <c r="B630" s="49">
        <v>41208</v>
      </c>
      <c r="C630" s="50">
        <v>0.54097222222222219</v>
      </c>
      <c r="D630" s="20">
        <v>22</v>
      </c>
    </row>
    <row r="631" spans="2:4" x14ac:dyDescent="0.25">
      <c r="B631" s="49">
        <v>41208</v>
      </c>
      <c r="C631" s="50">
        <v>0.56666666666666665</v>
      </c>
      <c r="D631" s="20">
        <v>96</v>
      </c>
    </row>
    <row r="632" spans="2:4" x14ac:dyDescent="0.25">
      <c r="B632" s="49">
        <v>41208</v>
      </c>
      <c r="C632" s="50">
        <v>0.59583333333333333</v>
      </c>
      <c r="D632" s="20">
        <v>2074</v>
      </c>
    </row>
    <row r="633" spans="2:4" x14ac:dyDescent="0.25">
      <c r="B633" s="49">
        <v>41208</v>
      </c>
      <c r="C633" s="50">
        <v>0.61597222222222225</v>
      </c>
      <c r="D633" s="20">
        <v>66</v>
      </c>
    </row>
    <row r="634" spans="2:4" x14ac:dyDescent="0.25">
      <c r="B634" s="49">
        <v>41208</v>
      </c>
      <c r="C634" s="50">
        <v>0.63402777777777775</v>
      </c>
      <c r="D634" s="20">
        <v>91</v>
      </c>
    </row>
    <row r="635" spans="2:4" x14ac:dyDescent="0.25">
      <c r="B635" s="49">
        <v>41208</v>
      </c>
      <c r="C635" s="50">
        <v>0.66805555555555562</v>
      </c>
      <c r="D635" s="20">
        <v>37</v>
      </c>
    </row>
    <row r="636" spans="2:4" x14ac:dyDescent="0.25">
      <c r="B636" s="49">
        <v>41208</v>
      </c>
      <c r="C636" s="50">
        <v>0.67291666666666661</v>
      </c>
      <c r="D636" s="20">
        <v>254</v>
      </c>
    </row>
    <row r="637" spans="2:4" x14ac:dyDescent="0.25">
      <c r="B637" s="49">
        <v>41208</v>
      </c>
      <c r="C637" s="50">
        <v>0.74097222222222225</v>
      </c>
      <c r="D637" s="20">
        <v>47</v>
      </c>
    </row>
    <row r="638" spans="2:4" x14ac:dyDescent="0.25">
      <c r="B638" s="49">
        <v>41208</v>
      </c>
      <c r="C638" s="50">
        <v>0.75486111111111109</v>
      </c>
      <c r="D638" s="20">
        <v>178</v>
      </c>
    </row>
    <row r="639" spans="2:4" x14ac:dyDescent="0.25">
      <c r="B639" s="49">
        <v>41208</v>
      </c>
      <c r="C639" s="50">
        <v>0.76736111111111116</v>
      </c>
      <c r="D639" s="20">
        <v>289</v>
      </c>
    </row>
    <row r="640" spans="2:4" x14ac:dyDescent="0.25">
      <c r="B640" s="49">
        <v>41208</v>
      </c>
      <c r="C640" s="50">
        <v>0.7715277777777777</v>
      </c>
      <c r="D640" s="20">
        <v>425</v>
      </c>
    </row>
    <row r="641" spans="2:4" x14ac:dyDescent="0.25">
      <c r="B641" s="49">
        <v>41208</v>
      </c>
      <c r="C641" s="50">
        <v>0.78333333333333333</v>
      </c>
      <c r="D641" s="20">
        <v>52</v>
      </c>
    </row>
    <row r="642" spans="2:4" x14ac:dyDescent="0.25">
      <c r="B642" s="49">
        <v>41208</v>
      </c>
      <c r="C642" s="50">
        <v>0.79999999999999993</v>
      </c>
      <c r="D642" s="20">
        <v>2096</v>
      </c>
    </row>
    <row r="643" spans="2:4" x14ac:dyDescent="0.25">
      <c r="B643" s="49">
        <v>41208</v>
      </c>
      <c r="C643" s="50">
        <v>0.82152777777777775</v>
      </c>
      <c r="D643" s="20">
        <v>99</v>
      </c>
    </row>
    <row r="644" spans="2:4" x14ac:dyDescent="0.25">
      <c r="B644" s="49">
        <v>41209</v>
      </c>
      <c r="C644" s="50">
        <v>0.28750000000000003</v>
      </c>
      <c r="D644" s="20">
        <v>1008</v>
      </c>
    </row>
    <row r="645" spans="2:4" x14ac:dyDescent="0.25">
      <c r="B645" s="49">
        <v>41209</v>
      </c>
      <c r="C645" s="50">
        <v>0.32430555555555557</v>
      </c>
      <c r="D645" s="20">
        <v>3200</v>
      </c>
    </row>
    <row r="646" spans="2:4" x14ac:dyDescent="0.25">
      <c r="B646" s="49">
        <v>41209</v>
      </c>
      <c r="C646" s="50">
        <v>0.33888888888888885</v>
      </c>
      <c r="D646" s="20">
        <v>53</v>
      </c>
    </row>
    <row r="647" spans="2:4" x14ac:dyDescent="0.25">
      <c r="B647" s="49">
        <v>41209</v>
      </c>
      <c r="C647" s="50">
        <v>0.34097222222222223</v>
      </c>
      <c r="D647" s="20">
        <v>92</v>
      </c>
    </row>
    <row r="648" spans="2:4" x14ac:dyDescent="0.25">
      <c r="B648" s="49">
        <v>41209</v>
      </c>
      <c r="C648" s="50">
        <v>0.3444444444444445</v>
      </c>
      <c r="D648" s="20">
        <v>3020</v>
      </c>
    </row>
    <row r="649" spans="2:4" x14ac:dyDescent="0.25">
      <c r="B649" s="49">
        <v>41209</v>
      </c>
      <c r="C649" s="50">
        <v>0.35625000000000001</v>
      </c>
      <c r="D649" s="20">
        <v>14</v>
      </c>
    </row>
    <row r="650" spans="2:4" x14ac:dyDescent="0.25">
      <c r="B650" s="49">
        <v>41209</v>
      </c>
      <c r="C650" s="50">
        <v>0.40833333333333338</v>
      </c>
      <c r="D650" s="20">
        <v>45</v>
      </c>
    </row>
    <row r="651" spans="2:4" x14ac:dyDescent="0.25">
      <c r="B651" s="49">
        <v>41209</v>
      </c>
      <c r="C651" s="50">
        <v>0.42777777777777781</v>
      </c>
      <c r="D651" s="20">
        <v>77</v>
      </c>
    </row>
    <row r="652" spans="2:4" x14ac:dyDescent="0.25">
      <c r="B652" s="49">
        <v>41209</v>
      </c>
      <c r="C652" s="50">
        <v>0.46319444444444446</v>
      </c>
      <c r="D652" s="20">
        <v>294</v>
      </c>
    </row>
    <row r="653" spans="2:4" x14ac:dyDescent="0.25">
      <c r="B653" s="49">
        <v>41209</v>
      </c>
      <c r="C653" s="50">
        <v>0.4916666666666667</v>
      </c>
      <c r="D653" s="20">
        <v>63</v>
      </c>
    </row>
    <row r="654" spans="2:4" x14ac:dyDescent="0.25">
      <c r="B654" s="49">
        <v>41209</v>
      </c>
      <c r="C654" s="50">
        <v>0.49305555555555558</v>
      </c>
      <c r="D654" s="20">
        <v>50</v>
      </c>
    </row>
    <row r="655" spans="2:4" x14ac:dyDescent="0.25">
      <c r="B655" s="49">
        <v>41209</v>
      </c>
      <c r="C655" s="50">
        <v>0.50138888888888888</v>
      </c>
      <c r="D655" s="20">
        <v>70</v>
      </c>
    </row>
    <row r="656" spans="2:4" x14ac:dyDescent="0.25">
      <c r="B656" s="49">
        <v>41209</v>
      </c>
      <c r="C656" s="50">
        <v>0.51111111111111118</v>
      </c>
      <c r="D656" s="20">
        <v>48</v>
      </c>
    </row>
    <row r="657" spans="2:4" x14ac:dyDescent="0.25">
      <c r="B657" s="49">
        <v>41209</v>
      </c>
      <c r="C657" s="50">
        <v>0.52500000000000002</v>
      </c>
      <c r="D657" s="20">
        <v>282</v>
      </c>
    </row>
    <row r="658" spans="2:4" x14ac:dyDescent="0.25">
      <c r="B658" s="49">
        <v>41209</v>
      </c>
      <c r="C658" s="50">
        <v>0.57500000000000007</v>
      </c>
      <c r="D658" s="20">
        <v>26</v>
      </c>
    </row>
    <row r="659" spans="2:4" x14ac:dyDescent="0.25">
      <c r="B659" s="49">
        <v>41209</v>
      </c>
      <c r="C659" s="50">
        <v>0.59305555555555556</v>
      </c>
      <c r="D659" s="20">
        <v>4089</v>
      </c>
    </row>
    <row r="660" spans="2:4" x14ac:dyDescent="0.25">
      <c r="B660" s="49">
        <v>41209</v>
      </c>
      <c r="C660" s="50">
        <v>0.59791666666666665</v>
      </c>
      <c r="D660" s="20">
        <v>31</v>
      </c>
    </row>
    <row r="661" spans="2:4" x14ac:dyDescent="0.25">
      <c r="B661" s="49">
        <v>41209</v>
      </c>
      <c r="C661" s="50">
        <v>0.60486111111111118</v>
      </c>
      <c r="D661" s="20">
        <v>257</v>
      </c>
    </row>
    <row r="662" spans="2:4" x14ac:dyDescent="0.25">
      <c r="B662" s="49">
        <v>41209</v>
      </c>
      <c r="C662" s="50">
        <v>0.6645833333333333</v>
      </c>
      <c r="D662" s="20">
        <v>57</v>
      </c>
    </row>
    <row r="663" spans="2:4" x14ac:dyDescent="0.25">
      <c r="B663" s="49">
        <v>41209</v>
      </c>
      <c r="C663" s="50">
        <v>0.67986111111111114</v>
      </c>
      <c r="D663" s="20">
        <v>4177</v>
      </c>
    </row>
    <row r="664" spans="2:4" x14ac:dyDescent="0.25">
      <c r="B664" s="49">
        <v>41209</v>
      </c>
      <c r="C664" s="50">
        <v>0.68680555555555556</v>
      </c>
      <c r="D664" s="20">
        <v>81</v>
      </c>
    </row>
    <row r="665" spans="2:4" x14ac:dyDescent="0.25">
      <c r="B665" s="49">
        <v>41209</v>
      </c>
      <c r="C665" s="50">
        <v>0.72638888888888886</v>
      </c>
      <c r="D665" s="20">
        <v>8</v>
      </c>
    </row>
    <row r="666" spans="2:4" x14ac:dyDescent="0.25">
      <c r="B666" s="49">
        <v>41209</v>
      </c>
      <c r="C666" s="50">
        <v>0.7270833333333333</v>
      </c>
      <c r="D666" s="20">
        <v>3134</v>
      </c>
    </row>
    <row r="667" spans="2:4" x14ac:dyDescent="0.25">
      <c r="B667" s="49">
        <v>41209</v>
      </c>
      <c r="C667" s="50">
        <v>0.77083333333333337</v>
      </c>
      <c r="D667" s="20">
        <v>3040</v>
      </c>
    </row>
    <row r="668" spans="2:4" x14ac:dyDescent="0.25">
      <c r="B668" s="49">
        <v>41209</v>
      </c>
      <c r="C668" s="50">
        <v>0.81180555555555556</v>
      </c>
      <c r="D668" s="20">
        <v>296</v>
      </c>
    </row>
    <row r="669" spans="2:4" x14ac:dyDescent="0.25">
      <c r="B669" s="49">
        <v>41209</v>
      </c>
      <c r="C669" s="50">
        <v>0.84930555555555554</v>
      </c>
      <c r="D669" s="20">
        <v>10</v>
      </c>
    </row>
    <row r="670" spans="2:4" x14ac:dyDescent="0.25">
      <c r="B670" s="49">
        <v>41209</v>
      </c>
      <c r="C670" s="50">
        <v>0.8534722222222223</v>
      </c>
      <c r="D670" s="20">
        <v>38</v>
      </c>
    </row>
    <row r="671" spans="2:4" x14ac:dyDescent="0.25">
      <c r="B671" s="49">
        <v>41209</v>
      </c>
      <c r="C671" s="50">
        <v>0.87708333333333333</v>
      </c>
      <c r="D671" s="20">
        <v>4013</v>
      </c>
    </row>
    <row r="672" spans="2:4" x14ac:dyDescent="0.25">
      <c r="B672" s="49">
        <v>41209</v>
      </c>
      <c r="C672" s="50">
        <v>0.93611111111111101</v>
      </c>
      <c r="D672" s="20">
        <v>17</v>
      </c>
    </row>
    <row r="673" spans="2:4" x14ac:dyDescent="0.25">
      <c r="B673" s="49">
        <v>41209</v>
      </c>
      <c r="C673" s="50">
        <v>0.98888888888888893</v>
      </c>
      <c r="D673" s="20">
        <v>3310</v>
      </c>
    </row>
    <row r="674" spans="2:4" x14ac:dyDescent="0.25">
      <c r="B674" s="49">
        <v>41210</v>
      </c>
      <c r="C674" s="50">
        <v>0.39374999999999999</v>
      </c>
      <c r="D674" s="20">
        <v>11</v>
      </c>
    </row>
    <row r="675" spans="2:4" x14ac:dyDescent="0.25">
      <c r="B675" s="49">
        <v>41210</v>
      </c>
      <c r="C675" s="50">
        <v>0.3972222222222222</v>
      </c>
      <c r="D675" s="20">
        <v>299</v>
      </c>
    </row>
    <row r="676" spans="2:4" x14ac:dyDescent="0.25">
      <c r="B676" s="49">
        <v>41210</v>
      </c>
      <c r="C676" s="50">
        <v>0.40902777777777777</v>
      </c>
      <c r="D676" s="20">
        <v>2452</v>
      </c>
    </row>
    <row r="677" spans="2:4" x14ac:dyDescent="0.25">
      <c r="B677" s="49">
        <v>41210</v>
      </c>
      <c r="C677" s="50">
        <v>0.41041666666666665</v>
      </c>
      <c r="D677" s="20">
        <v>31</v>
      </c>
    </row>
    <row r="678" spans="2:4" x14ac:dyDescent="0.25">
      <c r="B678" s="49">
        <v>41210</v>
      </c>
      <c r="C678" s="50">
        <v>0.41805555555555557</v>
      </c>
      <c r="D678" s="20">
        <v>90</v>
      </c>
    </row>
    <row r="679" spans="2:4" x14ac:dyDescent="0.25">
      <c r="B679" s="49">
        <v>41210</v>
      </c>
      <c r="C679" s="50">
        <v>0.42083333333333334</v>
      </c>
      <c r="D679" s="20">
        <v>2013</v>
      </c>
    </row>
    <row r="680" spans="2:4" x14ac:dyDescent="0.25">
      <c r="B680" s="49">
        <v>41210</v>
      </c>
      <c r="C680" s="50">
        <v>0.42986111111111108</v>
      </c>
      <c r="D680" s="20">
        <v>234</v>
      </c>
    </row>
    <row r="681" spans="2:4" x14ac:dyDescent="0.25">
      <c r="B681" s="49">
        <v>41210</v>
      </c>
      <c r="C681" s="50">
        <v>0.43611111111111112</v>
      </c>
      <c r="D681" s="20">
        <v>45</v>
      </c>
    </row>
    <row r="682" spans="2:4" x14ac:dyDescent="0.25">
      <c r="B682" s="49">
        <v>41210</v>
      </c>
      <c r="C682" s="50">
        <v>0.44513888888888892</v>
      </c>
      <c r="D682" s="20">
        <v>3143</v>
      </c>
    </row>
    <row r="683" spans="2:4" x14ac:dyDescent="0.25">
      <c r="B683" s="49">
        <v>41210</v>
      </c>
      <c r="C683" s="50">
        <v>0.45347222222222222</v>
      </c>
      <c r="D683" s="20">
        <v>4</v>
      </c>
    </row>
    <row r="684" spans="2:4" x14ac:dyDescent="0.25">
      <c r="B684" s="49">
        <v>41210</v>
      </c>
      <c r="C684" s="50">
        <v>0.45833333333333331</v>
      </c>
      <c r="D684" s="20">
        <v>1051</v>
      </c>
    </row>
    <row r="685" spans="2:4" x14ac:dyDescent="0.25">
      <c r="B685" s="49">
        <v>41210</v>
      </c>
      <c r="C685" s="50">
        <v>0.47013888888888888</v>
      </c>
      <c r="D685" s="20">
        <v>325</v>
      </c>
    </row>
    <row r="686" spans="2:4" x14ac:dyDescent="0.25">
      <c r="B686" s="49">
        <v>41210</v>
      </c>
      <c r="C686" s="50">
        <v>0.47569444444444442</v>
      </c>
      <c r="D686" s="20">
        <v>1098</v>
      </c>
    </row>
    <row r="687" spans="2:4" x14ac:dyDescent="0.25">
      <c r="B687" s="49">
        <v>41210</v>
      </c>
      <c r="C687" s="50">
        <v>0.48402777777777778</v>
      </c>
      <c r="D687" s="20">
        <v>16</v>
      </c>
    </row>
    <row r="688" spans="2:4" x14ac:dyDescent="0.25">
      <c r="B688" s="49">
        <v>41210</v>
      </c>
      <c r="C688" s="50">
        <v>0.48472222222222222</v>
      </c>
      <c r="D688" s="20">
        <v>24</v>
      </c>
    </row>
    <row r="689" spans="2:4" x14ac:dyDescent="0.25">
      <c r="B689" s="49">
        <v>41210</v>
      </c>
      <c r="C689" s="50">
        <v>0.48472222222222222</v>
      </c>
      <c r="D689" s="20">
        <v>415</v>
      </c>
    </row>
    <row r="690" spans="2:4" x14ac:dyDescent="0.25">
      <c r="B690" s="49">
        <v>41210</v>
      </c>
      <c r="C690" s="50">
        <v>0.5229166666666667</v>
      </c>
      <c r="D690" s="20">
        <v>354</v>
      </c>
    </row>
    <row r="691" spans="2:4" x14ac:dyDescent="0.25">
      <c r="B691" s="49">
        <v>41210</v>
      </c>
      <c r="C691" s="50">
        <v>0.57291666666666663</v>
      </c>
      <c r="D691" s="20">
        <v>80</v>
      </c>
    </row>
    <row r="692" spans="2:4" x14ac:dyDescent="0.25">
      <c r="B692" s="49">
        <v>41211</v>
      </c>
      <c r="C692" s="50">
        <v>0.43124999999999997</v>
      </c>
      <c r="D692" s="20">
        <v>300</v>
      </c>
    </row>
    <row r="693" spans="2:4" x14ac:dyDescent="0.25">
      <c r="B693" s="49">
        <v>41211</v>
      </c>
      <c r="C693" s="50">
        <v>0.43263888888888885</v>
      </c>
      <c r="D693" s="20">
        <v>173</v>
      </c>
    </row>
    <row r="694" spans="2:4" x14ac:dyDescent="0.25">
      <c r="B694" s="49">
        <v>41211</v>
      </c>
      <c r="C694" s="50">
        <v>0.43333333333333335</v>
      </c>
      <c r="D694" s="20">
        <v>282</v>
      </c>
    </row>
    <row r="695" spans="2:4" x14ac:dyDescent="0.25">
      <c r="B695" s="49">
        <v>41211</v>
      </c>
      <c r="C695" s="50">
        <v>0.4381944444444445</v>
      </c>
      <c r="D695" s="20">
        <v>2016</v>
      </c>
    </row>
    <row r="696" spans="2:4" x14ac:dyDescent="0.25">
      <c r="B696" s="49">
        <v>41211</v>
      </c>
      <c r="C696" s="50">
        <v>0.45624999999999999</v>
      </c>
      <c r="D696" s="20">
        <v>253</v>
      </c>
    </row>
    <row r="697" spans="2:4" x14ac:dyDescent="0.25">
      <c r="B697" s="49">
        <v>41211</v>
      </c>
      <c r="C697" s="50">
        <v>0.4777777777777778</v>
      </c>
      <c r="D697" s="20">
        <v>7</v>
      </c>
    </row>
    <row r="698" spans="2:4" x14ac:dyDescent="0.25">
      <c r="B698" s="49">
        <v>41211</v>
      </c>
      <c r="C698" s="50">
        <v>0.51666666666666672</v>
      </c>
      <c r="D698" s="20">
        <v>3064</v>
      </c>
    </row>
    <row r="699" spans="2:4" x14ac:dyDescent="0.25">
      <c r="B699" s="49">
        <v>41211</v>
      </c>
      <c r="C699" s="50">
        <v>0.53055555555555556</v>
      </c>
      <c r="D699" s="20">
        <v>188</v>
      </c>
    </row>
    <row r="700" spans="2:4" x14ac:dyDescent="0.25">
      <c r="B700" s="49">
        <v>41211</v>
      </c>
      <c r="C700" s="50">
        <v>0.55555555555555558</v>
      </c>
      <c r="D700" s="20">
        <v>71</v>
      </c>
    </row>
    <row r="701" spans="2:4" x14ac:dyDescent="0.25">
      <c r="B701" s="49">
        <v>41211</v>
      </c>
      <c r="C701" s="50">
        <v>0.60069444444444442</v>
      </c>
      <c r="D701" s="20">
        <v>464</v>
      </c>
    </row>
    <row r="702" spans="2:4" x14ac:dyDescent="0.25">
      <c r="B702" s="49">
        <v>41211</v>
      </c>
      <c r="C702" s="50">
        <v>0.60486111111111118</v>
      </c>
      <c r="D702" s="20">
        <v>120</v>
      </c>
    </row>
    <row r="703" spans="2:4" x14ac:dyDescent="0.25">
      <c r="B703" s="49">
        <v>41211</v>
      </c>
      <c r="C703" s="50">
        <v>0.61388888888888882</v>
      </c>
      <c r="D703" s="20">
        <v>497</v>
      </c>
    </row>
    <row r="704" spans="2:4" x14ac:dyDescent="0.25">
      <c r="B704" s="49">
        <v>41211</v>
      </c>
      <c r="C704" s="50">
        <v>0.63194444444444442</v>
      </c>
      <c r="D704" s="20">
        <v>73</v>
      </c>
    </row>
    <row r="705" spans="2:4" x14ac:dyDescent="0.25">
      <c r="B705" s="49">
        <v>41211</v>
      </c>
      <c r="C705" s="50">
        <v>0.6777777777777777</v>
      </c>
      <c r="D705" s="20">
        <v>417</v>
      </c>
    </row>
    <row r="706" spans="2:4" x14ac:dyDescent="0.25">
      <c r="B706" s="49">
        <v>41211</v>
      </c>
      <c r="C706" s="50">
        <v>0.70277777777777783</v>
      </c>
      <c r="D706" s="20">
        <v>4000</v>
      </c>
    </row>
    <row r="707" spans="2:4" x14ac:dyDescent="0.25">
      <c r="B707" s="49">
        <v>41211</v>
      </c>
      <c r="C707" s="50">
        <v>0.73819444444444438</v>
      </c>
      <c r="D707" s="20">
        <v>259</v>
      </c>
    </row>
    <row r="708" spans="2:4" x14ac:dyDescent="0.25">
      <c r="B708" s="49">
        <v>41211</v>
      </c>
      <c r="C708" s="50">
        <v>0.78541666666666676</v>
      </c>
      <c r="D708" s="20">
        <v>84</v>
      </c>
    </row>
    <row r="709" spans="2:4" x14ac:dyDescent="0.25">
      <c r="B709" s="49">
        <v>41211</v>
      </c>
      <c r="C709" s="50">
        <v>0.78611111111111109</v>
      </c>
      <c r="D709" s="20">
        <v>169</v>
      </c>
    </row>
    <row r="710" spans="2:4" x14ac:dyDescent="0.25">
      <c r="B710" s="49">
        <v>41212</v>
      </c>
      <c r="C710" s="50">
        <v>0.46666666666666662</v>
      </c>
      <c r="D710" s="20">
        <v>92</v>
      </c>
    </row>
    <row r="711" spans="2:4" x14ac:dyDescent="0.25">
      <c r="B711" s="49">
        <v>41212</v>
      </c>
      <c r="C711" s="50">
        <v>0.46736111111111112</v>
      </c>
      <c r="D711" s="20">
        <v>62</v>
      </c>
    </row>
    <row r="712" spans="2:4" x14ac:dyDescent="0.25">
      <c r="B712" s="49">
        <v>41212</v>
      </c>
      <c r="C712" s="50">
        <v>0.46875</v>
      </c>
      <c r="D712" s="20">
        <v>1054</v>
      </c>
    </row>
    <row r="713" spans="2:4" x14ac:dyDescent="0.25">
      <c r="B713" s="49">
        <v>41212</v>
      </c>
      <c r="C713" s="50">
        <v>0.49513888888888885</v>
      </c>
      <c r="D713" s="20">
        <v>69</v>
      </c>
    </row>
    <row r="714" spans="2:4" x14ac:dyDescent="0.25">
      <c r="B714" s="49">
        <v>41212</v>
      </c>
      <c r="C714" s="50">
        <v>0.51597222222222217</v>
      </c>
      <c r="D714" s="20">
        <v>350</v>
      </c>
    </row>
    <row r="715" spans="2:4" x14ac:dyDescent="0.25">
      <c r="B715" s="49">
        <v>41212</v>
      </c>
      <c r="C715" s="50">
        <v>0.51944444444444449</v>
      </c>
      <c r="D715" s="20">
        <v>21</v>
      </c>
    </row>
    <row r="716" spans="2:4" x14ac:dyDescent="0.25">
      <c r="B716" s="49">
        <v>41212</v>
      </c>
      <c r="C716" s="50">
        <v>0.53749999999999998</v>
      </c>
      <c r="D716" s="20">
        <v>397</v>
      </c>
    </row>
    <row r="717" spans="2:4" x14ac:dyDescent="0.25">
      <c r="B717" s="49">
        <v>41212</v>
      </c>
      <c r="C717" s="50">
        <v>0.54583333333333328</v>
      </c>
      <c r="D717" s="20">
        <v>484</v>
      </c>
    </row>
    <row r="718" spans="2:4" x14ac:dyDescent="0.25">
      <c r="B718" s="49">
        <v>41212</v>
      </c>
      <c r="C718" s="50">
        <v>0.55833333333333335</v>
      </c>
      <c r="D718" s="20">
        <v>370</v>
      </c>
    </row>
    <row r="719" spans="2:4" x14ac:dyDescent="0.25">
      <c r="B719" s="49">
        <v>41212</v>
      </c>
      <c r="C719" s="50">
        <v>0.55833333333333335</v>
      </c>
      <c r="D719" s="20">
        <v>1259</v>
      </c>
    </row>
    <row r="720" spans="2:4" x14ac:dyDescent="0.25">
      <c r="B720" s="49">
        <v>41212</v>
      </c>
      <c r="C720" s="50">
        <v>0.57986111111111105</v>
      </c>
      <c r="D720" s="20">
        <v>1038</v>
      </c>
    </row>
    <row r="721" spans="2:4" x14ac:dyDescent="0.25">
      <c r="B721" s="49">
        <v>41212</v>
      </c>
      <c r="C721" s="50">
        <v>0.59861111111111109</v>
      </c>
      <c r="D721" s="20">
        <v>277</v>
      </c>
    </row>
    <row r="722" spans="2:4" x14ac:dyDescent="0.25">
      <c r="B722" s="49">
        <v>41212</v>
      </c>
      <c r="C722" s="50">
        <v>0.62638888888888888</v>
      </c>
      <c r="D722" s="20">
        <v>61</v>
      </c>
    </row>
    <row r="723" spans="2:4" x14ac:dyDescent="0.25">
      <c r="B723" s="49">
        <v>41212</v>
      </c>
      <c r="C723" s="50">
        <v>0.64861111111111114</v>
      </c>
      <c r="D723" s="20">
        <v>2090</v>
      </c>
    </row>
    <row r="724" spans="2:4" x14ac:dyDescent="0.25">
      <c r="B724" s="49">
        <v>41212</v>
      </c>
      <c r="C724" s="50">
        <v>0.66249999999999998</v>
      </c>
      <c r="D724" s="20">
        <v>1062</v>
      </c>
    </row>
    <row r="725" spans="2:4" x14ac:dyDescent="0.25">
      <c r="B725" s="49">
        <v>41212</v>
      </c>
      <c r="C725" s="50">
        <v>0.6791666666666667</v>
      </c>
      <c r="D725" s="20">
        <v>3039</v>
      </c>
    </row>
    <row r="726" spans="2:4" x14ac:dyDescent="0.25">
      <c r="B726" s="49">
        <v>41212</v>
      </c>
      <c r="C726" s="50">
        <v>0.68055555555555547</v>
      </c>
      <c r="D726" s="20">
        <v>75</v>
      </c>
    </row>
    <row r="727" spans="2:4" x14ac:dyDescent="0.25">
      <c r="B727" s="49">
        <v>41212</v>
      </c>
      <c r="C727" s="50">
        <v>0.7090277777777777</v>
      </c>
      <c r="D727" s="20">
        <v>14</v>
      </c>
    </row>
    <row r="728" spans="2:4" x14ac:dyDescent="0.25">
      <c r="B728" s="49">
        <v>41212</v>
      </c>
      <c r="C728" s="50">
        <v>0.76250000000000007</v>
      </c>
      <c r="D728" s="20">
        <v>98</v>
      </c>
    </row>
    <row r="729" spans="2:4" x14ac:dyDescent="0.25">
      <c r="B729" s="49">
        <v>41212</v>
      </c>
      <c r="C729" s="50">
        <v>0.80972222222222223</v>
      </c>
      <c r="D729" s="20">
        <v>145</v>
      </c>
    </row>
    <row r="730" spans="2:4" x14ac:dyDescent="0.25">
      <c r="B730" s="49">
        <v>41212</v>
      </c>
      <c r="C730" s="50">
        <v>0.82291666666666663</v>
      </c>
      <c r="D730" s="20">
        <v>284</v>
      </c>
    </row>
    <row r="731" spans="2:4" x14ac:dyDescent="0.25">
      <c r="B731" s="49">
        <v>41212</v>
      </c>
      <c r="C731" s="50">
        <v>0.84305555555555556</v>
      </c>
      <c r="D731" s="20">
        <v>466</v>
      </c>
    </row>
    <row r="732" spans="2:4" x14ac:dyDescent="0.25">
      <c r="B732" s="49">
        <v>41212</v>
      </c>
      <c r="C732" s="50">
        <v>0.86736111111111114</v>
      </c>
      <c r="D732" s="20">
        <v>316</v>
      </c>
    </row>
    <row r="733" spans="2:4" x14ac:dyDescent="0.25">
      <c r="B733" s="49">
        <v>41212</v>
      </c>
      <c r="C733" s="50">
        <v>0.9145833333333333</v>
      </c>
      <c r="D733" s="20">
        <v>61</v>
      </c>
    </row>
    <row r="734" spans="2:4" x14ac:dyDescent="0.25">
      <c r="B734" s="49">
        <v>41212</v>
      </c>
      <c r="C734" s="50">
        <v>0.93125000000000002</v>
      </c>
      <c r="D734" s="20">
        <v>2158</v>
      </c>
    </row>
    <row r="735" spans="2:4" x14ac:dyDescent="0.25">
      <c r="B735" s="49">
        <v>41212</v>
      </c>
      <c r="C735" s="50">
        <v>0.93819444444444444</v>
      </c>
      <c r="D735" s="20">
        <v>3016</v>
      </c>
    </row>
    <row r="736" spans="2:4" x14ac:dyDescent="0.25">
      <c r="B736" s="49">
        <v>41212</v>
      </c>
      <c r="C736" s="50">
        <v>0.96666666666666667</v>
      </c>
      <c r="D736" s="20">
        <v>28</v>
      </c>
    </row>
    <row r="737" spans="2:4" x14ac:dyDescent="0.25">
      <c r="B737" s="49">
        <v>41212</v>
      </c>
      <c r="C737" s="50">
        <v>0.97222222222222221</v>
      </c>
      <c r="D737" s="20">
        <v>52</v>
      </c>
    </row>
    <row r="738" spans="2:4" x14ac:dyDescent="0.25">
      <c r="B738" s="49">
        <v>41213</v>
      </c>
      <c r="C738" s="50">
        <v>0.50347222222222221</v>
      </c>
      <c r="D738" s="20">
        <v>232</v>
      </c>
    </row>
    <row r="739" spans="2:4" x14ac:dyDescent="0.25">
      <c r="B739" s="49">
        <v>41213</v>
      </c>
      <c r="C739" s="50">
        <v>0.52013888888888882</v>
      </c>
      <c r="D739" s="20">
        <v>15</v>
      </c>
    </row>
    <row r="740" spans="2:4" x14ac:dyDescent="0.25">
      <c r="B740" s="49">
        <v>41213</v>
      </c>
      <c r="C740" s="50">
        <v>0.55069444444444449</v>
      </c>
      <c r="D740" s="20">
        <v>124</v>
      </c>
    </row>
    <row r="741" spans="2:4" x14ac:dyDescent="0.25">
      <c r="B741" s="49">
        <v>41213</v>
      </c>
      <c r="C741" s="50">
        <v>0.57777777777777783</v>
      </c>
      <c r="D741" s="20">
        <v>2325</v>
      </c>
    </row>
    <row r="742" spans="2:4" x14ac:dyDescent="0.25">
      <c r="B742" s="49">
        <v>41213</v>
      </c>
      <c r="C742" s="50">
        <v>0.60833333333333328</v>
      </c>
      <c r="D742" s="20">
        <v>4034</v>
      </c>
    </row>
    <row r="743" spans="2:4" x14ac:dyDescent="0.25">
      <c r="B743" s="49">
        <v>41213</v>
      </c>
      <c r="C743" s="50">
        <v>0.60902777777777783</v>
      </c>
      <c r="D743" s="20">
        <v>286</v>
      </c>
    </row>
    <row r="744" spans="2:4" x14ac:dyDescent="0.25">
      <c r="B744" s="49">
        <v>41213</v>
      </c>
      <c r="C744" s="50">
        <v>0.64722222222222225</v>
      </c>
      <c r="D744" s="20">
        <v>288</v>
      </c>
    </row>
    <row r="745" spans="2:4" x14ac:dyDescent="0.25">
      <c r="B745" s="49">
        <v>41213</v>
      </c>
      <c r="C745" s="50">
        <v>0.65138888888888891</v>
      </c>
      <c r="D745" s="20">
        <v>79</v>
      </c>
    </row>
    <row r="746" spans="2:4" x14ac:dyDescent="0.25">
      <c r="B746" s="49">
        <v>41213</v>
      </c>
      <c r="C746" s="50">
        <v>0.65208333333333335</v>
      </c>
      <c r="D746" s="20">
        <v>4058</v>
      </c>
    </row>
    <row r="747" spans="2:4" x14ac:dyDescent="0.25">
      <c r="B747" s="49">
        <v>41213</v>
      </c>
      <c r="C747" s="50">
        <v>0.65972222222222221</v>
      </c>
      <c r="D747" s="20">
        <v>1</v>
      </c>
    </row>
    <row r="748" spans="2:4" x14ac:dyDescent="0.25">
      <c r="B748" s="49">
        <v>41213</v>
      </c>
      <c r="C748" s="50">
        <v>0.67708333333333337</v>
      </c>
      <c r="D748" s="20">
        <v>3227</v>
      </c>
    </row>
    <row r="749" spans="2:4" x14ac:dyDescent="0.25">
      <c r="B749" s="49">
        <v>41213</v>
      </c>
      <c r="C749" s="50">
        <v>0.68125000000000002</v>
      </c>
      <c r="D749" s="20">
        <v>4000</v>
      </c>
    </row>
    <row r="750" spans="2:4" x14ac:dyDescent="0.25">
      <c r="B750" s="49">
        <v>41213</v>
      </c>
      <c r="C750" s="50">
        <v>0.71944444444444444</v>
      </c>
      <c r="D750" s="20">
        <v>2323</v>
      </c>
    </row>
    <row r="751" spans="2:4" x14ac:dyDescent="0.25">
      <c r="B751" s="49">
        <v>41213</v>
      </c>
      <c r="C751" s="50">
        <v>0.72013888888888899</v>
      </c>
      <c r="D751" s="20">
        <v>400</v>
      </c>
    </row>
    <row r="752" spans="2:4" x14ac:dyDescent="0.25">
      <c r="B752" s="49">
        <v>41213</v>
      </c>
      <c r="C752" s="50">
        <v>0.76874999999999993</v>
      </c>
      <c r="D752" s="20">
        <v>342</v>
      </c>
    </row>
    <row r="753" spans="2:4" x14ac:dyDescent="0.25">
      <c r="B753" s="49">
        <v>41213</v>
      </c>
      <c r="C753" s="50">
        <v>0.79583333333333339</v>
      </c>
      <c r="D753" s="20">
        <v>4108</v>
      </c>
    </row>
    <row r="754" spans="2:4" x14ac:dyDescent="0.25">
      <c r="B754" s="49">
        <v>41213</v>
      </c>
      <c r="C754" s="50">
        <v>0.80625000000000002</v>
      </c>
      <c r="D754" s="20">
        <v>46</v>
      </c>
    </row>
    <row r="755" spans="2:4" x14ac:dyDescent="0.25">
      <c r="B755" s="49">
        <v>41213</v>
      </c>
      <c r="C755" s="50">
        <v>0.81041666666666667</v>
      </c>
      <c r="D755" s="20">
        <v>4163</v>
      </c>
    </row>
    <row r="756" spans="2:4" x14ac:dyDescent="0.25">
      <c r="B756" s="49">
        <v>41213</v>
      </c>
      <c r="C756" s="50">
        <v>0.8520833333333333</v>
      </c>
      <c r="D756" s="20">
        <v>3423</v>
      </c>
    </row>
    <row r="757" spans="2:4" x14ac:dyDescent="0.25">
      <c r="B757" s="49">
        <v>41213</v>
      </c>
      <c r="C757" s="50">
        <v>0.85416666666666663</v>
      </c>
      <c r="D757" s="20">
        <v>84</v>
      </c>
    </row>
    <row r="758" spans="2:4" x14ac:dyDescent="0.25">
      <c r="B758" s="49">
        <v>41213</v>
      </c>
      <c r="C758" s="50">
        <v>0.86319444444444438</v>
      </c>
      <c r="D758" s="20">
        <v>228</v>
      </c>
    </row>
    <row r="759" spans="2:4" x14ac:dyDescent="0.25">
      <c r="B759" s="49">
        <v>41213</v>
      </c>
      <c r="C759" s="50">
        <v>0.8847222222222223</v>
      </c>
      <c r="D759" s="20">
        <v>12</v>
      </c>
    </row>
    <row r="760" spans="2:4" x14ac:dyDescent="0.25">
      <c r="B760" s="49">
        <v>41213</v>
      </c>
      <c r="C760" s="50">
        <v>0.88680555555555562</v>
      </c>
      <c r="D760" s="20">
        <v>1055</v>
      </c>
    </row>
    <row r="761" spans="2:4" x14ac:dyDescent="0.25">
      <c r="B761" s="49">
        <v>41213</v>
      </c>
      <c r="C761" s="50">
        <v>0.8930555555555556</v>
      </c>
      <c r="D761" s="20">
        <v>4035</v>
      </c>
    </row>
    <row r="762" spans="2:4" x14ac:dyDescent="0.25">
      <c r="B762" s="49">
        <v>41213</v>
      </c>
      <c r="C762" s="50">
        <v>0.8979166666666667</v>
      </c>
      <c r="D762" s="20">
        <v>36</v>
      </c>
    </row>
    <row r="763" spans="2:4" x14ac:dyDescent="0.25">
      <c r="B763" s="49">
        <v>41213</v>
      </c>
      <c r="C763" s="50">
        <v>0.90486111111111101</v>
      </c>
      <c r="D763" s="20">
        <v>101</v>
      </c>
    </row>
    <row r="764" spans="2:4" x14ac:dyDescent="0.25">
      <c r="B764" s="49">
        <v>41213</v>
      </c>
      <c r="C764" s="50">
        <v>0.90833333333333333</v>
      </c>
      <c r="D764" s="20">
        <v>15</v>
      </c>
    </row>
    <row r="765" spans="2:4" x14ac:dyDescent="0.25">
      <c r="B765" s="49">
        <v>41213</v>
      </c>
      <c r="C765" s="50">
        <v>0.93472222222222223</v>
      </c>
      <c r="D765" s="20">
        <v>96</v>
      </c>
    </row>
    <row r="766" spans="2:4" ht="15.75" thickBot="1" x14ac:dyDescent="0.3">
      <c r="B766" s="51">
        <v>41213</v>
      </c>
      <c r="C766" s="52">
        <v>0.93541666666666667</v>
      </c>
      <c r="D766" s="53">
        <v>428</v>
      </c>
    </row>
  </sheetData>
  <pageMargins left="0.7" right="0.7" top="0.75" bottom="0.75" header="0.3" footer="0.3"/>
  <pageSetup orientation="portrait" verticalDpi="601"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4D0B6-17BE-46B4-8B39-7385AB926BFC}">
  <sheetPr codeName="Sheet19"/>
  <dimension ref="B1:D879"/>
  <sheetViews>
    <sheetView workbookViewId="0"/>
  </sheetViews>
  <sheetFormatPr defaultColWidth="8.85546875" defaultRowHeight="15" x14ac:dyDescent="0.25"/>
  <sheetData>
    <row r="1" spans="2:4" ht="15.75" thickBot="1" x14ac:dyDescent="0.3"/>
    <row r="2" spans="2:4" x14ac:dyDescent="0.25">
      <c r="B2" s="35" t="s">
        <v>46</v>
      </c>
      <c r="C2" s="36" t="s">
        <v>47</v>
      </c>
      <c r="D2" s="37" t="s">
        <v>61</v>
      </c>
    </row>
    <row r="3" spans="2:4" x14ac:dyDescent="0.25">
      <c r="B3" s="54">
        <v>41183</v>
      </c>
      <c r="C3" s="48">
        <v>0.31458333333333333</v>
      </c>
      <c r="D3" s="20" t="s">
        <v>62</v>
      </c>
    </row>
    <row r="4" spans="2:4" x14ac:dyDescent="0.25">
      <c r="B4" s="54">
        <v>41183</v>
      </c>
      <c r="C4" s="48">
        <v>0.36180555555555555</v>
      </c>
      <c r="D4" s="20" t="s">
        <v>62</v>
      </c>
    </row>
    <row r="5" spans="2:4" x14ac:dyDescent="0.25">
      <c r="B5" s="54">
        <v>41183</v>
      </c>
      <c r="C5" s="48">
        <v>0.3756944444444445</v>
      </c>
      <c r="D5" s="20" t="s">
        <v>62</v>
      </c>
    </row>
    <row r="6" spans="2:4" x14ac:dyDescent="0.25">
      <c r="B6" s="54">
        <v>41183</v>
      </c>
      <c r="C6" s="48">
        <v>0.38819444444444445</v>
      </c>
      <c r="D6" s="20" t="s">
        <v>62</v>
      </c>
    </row>
    <row r="7" spans="2:4" x14ac:dyDescent="0.25">
      <c r="B7" s="54">
        <v>41183</v>
      </c>
      <c r="C7" s="48">
        <v>0.39999999999999997</v>
      </c>
      <c r="D7" s="20" t="s">
        <v>62</v>
      </c>
    </row>
    <row r="8" spans="2:4" x14ac:dyDescent="0.25">
      <c r="B8" s="54">
        <v>41183</v>
      </c>
      <c r="C8" s="48">
        <v>0.40208333333333335</v>
      </c>
      <c r="D8" s="20" t="s">
        <v>62</v>
      </c>
    </row>
    <row r="9" spans="2:4" x14ac:dyDescent="0.25">
      <c r="B9" s="54">
        <v>41183</v>
      </c>
      <c r="C9" s="48">
        <v>0.40625</v>
      </c>
      <c r="D9" s="20" t="s">
        <v>62</v>
      </c>
    </row>
    <row r="10" spans="2:4" x14ac:dyDescent="0.25">
      <c r="B10" s="54">
        <v>41183</v>
      </c>
      <c r="C10" s="48">
        <v>0.41875000000000001</v>
      </c>
      <c r="D10" s="20" t="s">
        <v>62</v>
      </c>
    </row>
    <row r="11" spans="2:4" x14ac:dyDescent="0.25">
      <c r="B11" s="54">
        <v>41183</v>
      </c>
      <c r="C11" s="48">
        <v>0.43541666666666662</v>
      </c>
      <c r="D11" s="20" t="s">
        <v>62</v>
      </c>
    </row>
    <row r="12" spans="2:4" x14ac:dyDescent="0.25">
      <c r="B12" s="54">
        <v>41183</v>
      </c>
      <c r="C12" s="48">
        <v>0.45208333333333334</v>
      </c>
      <c r="D12" s="20" t="s">
        <v>62</v>
      </c>
    </row>
    <row r="13" spans="2:4" x14ac:dyDescent="0.25">
      <c r="B13" s="54">
        <v>41183</v>
      </c>
      <c r="C13" s="48">
        <v>0.45347222222222222</v>
      </c>
      <c r="D13" s="20" t="s">
        <v>62</v>
      </c>
    </row>
    <row r="14" spans="2:4" x14ac:dyDescent="0.25">
      <c r="B14" s="54">
        <v>41183</v>
      </c>
      <c r="C14" s="48">
        <v>0.45763888888888887</v>
      </c>
      <c r="D14" s="20" t="s">
        <v>62</v>
      </c>
    </row>
    <row r="15" spans="2:4" x14ac:dyDescent="0.25">
      <c r="B15" s="54">
        <v>41183</v>
      </c>
      <c r="C15" s="48">
        <v>0.4604166666666667</v>
      </c>
      <c r="D15" s="20" t="s">
        <v>62</v>
      </c>
    </row>
    <row r="16" spans="2:4" x14ac:dyDescent="0.25">
      <c r="B16" s="54">
        <v>41183</v>
      </c>
      <c r="C16" s="48">
        <v>0.48749999999999999</v>
      </c>
      <c r="D16" s="20" t="s">
        <v>63</v>
      </c>
    </row>
    <row r="17" spans="2:4" x14ac:dyDescent="0.25">
      <c r="B17" s="54">
        <v>41183</v>
      </c>
      <c r="C17" s="48">
        <v>0.4916666666666667</v>
      </c>
      <c r="D17" s="20" t="s">
        <v>62</v>
      </c>
    </row>
    <row r="18" spans="2:4" x14ac:dyDescent="0.25">
      <c r="B18" s="54">
        <v>41183</v>
      </c>
      <c r="C18" s="48">
        <v>0.5131944444444444</v>
      </c>
      <c r="D18" s="20" t="s">
        <v>62</v>
      </c>
    </row>
    <row r="19" spans="2:4" x14ac:dyDescent="0.25">
      <c r="B19" s="54">
        <v>41183</v>
      </c>
      <c r="C19" s="48">
        <v>0.51597222222222217</v>
      </c>
      <c r="D19" s="20" t="s">
        <v>63</v>
      </c>
    </row>
    <row r="20" spans="2:4" x14ac:dyDescent="0.25">
      <c r="B20" s="54">
        <v>41183</v>
      </c>
      <c r="C20" s="48">
        <v>0.52569444444444446</v>
      </c>
      <c r="D20" s="20" t="s">
        <v>62</v>
      </c>
    </row>
    <row r="21" spans="2:4" x14ac:dyDescent="0.25">
      <c r="B21" s="54">
        <v>41183</v>
      </c>
      <c r="C21" s="48">
        <v>0.53472222222222221</v>
      </c>
      <c r="D21" s="20" t="s">
        <v>62</v>
      </c>
    </row>
    <row r="22" spans="2:4" x14ac:dyDescent="0.25">
      <c r="B22" s="54">
        <v>41183</v>
      </c>
      <c r="C22" s="48">
        <v>0.55277777777777781</v>
      </c>
      <c r="D22" s="20" t="s">
        <v>62</v>
      </c>
    </row>
    <row r="23" spans="2:4" x14ac:dyDescent="0.25">
      <c r="B23" s="54">
        <v>41183</v>
      </c>
      <c r="C23" s="48">
        <v>0.59375</v>
      </c>
      <c r="D23" s="20" t="s">
        <v>63</v>
      </c>
    </row>
    <row r="24" spans="2:4" x14ac:dyDescent="0.25">
      <c r="B24" s="54">
        <v>41183</v>
      </c>
      <c r="C24" s="48">
        <v>0.62152777777777779</v>
      </c>
      <c r="D24" s="20" t="s">
        <v>62</v>
      </c>
    </row>
    <row r="25" spans="2:4" x14ac:dyDescent="0.25">
      <c r="B25" s="54">
        <v>41183</v>
      </c>
      <c r="C25" s="48">
        <v>0.64444444444444449</v>
      </c>
      <c r="D25" s="20" t="s">
        <v>62</v>
      </c>
    </row>
    <row r="26" spans="2:4" x14ac:dyDescent="0.25">
      <c r="B26" s="54">
        <v>41183</v>
      </c>
      <c r="C26" s="48">
        <v>0.68472222222222223</v>
      </c>
      <c r="D26" s="20" t="s">
        <v>62</v>
      </c>
    </row>
    <row r="27" spans="2:4" x14ac:dyDescent="0.25">
      <c r="B27" s="54">
        <v>41183</v>
      </c>
      <c r="C27" s="48">
        <v>0.69236111111111109</v>
      </c>
      <c r="D27" s="20" t="s">
        <v>62</v>
      </c>
    </row>
    <row r="28" spans="2:4" x14ac:dyDescent="0.25">
      <c r="B28" s="54">
        <v>41183</v>
      </c>
      <c r="C28" s="48">
        <v>0.70694444444444438</v>
      </c>
      <c r="D28" s="20" t="s">
        <v>62</v>
      </c>
    </row>
    <row r="29" spans="2:4" x14ac:dyDescent="0.25">
      <c r="B29" s="54">
        <v>41183</v>
      </c>
      <c r="C29" s="48">
        <v>0.71736111111111101</v>
      </c>
      <c r="D29" s="20" t="s">
        <v>62</v>
      </c>
    </row>
    <row r="30" spans="2:4" x14ac:dyDescent="0.25">
      <c r="B30" s="54">
        <v>41183</v>
      </c>
      <c r="C30" s="48">
        <v>0.72152777777777777</v>
      </c>
      <c r="D30" s="20" t="s">
        <v>62</v>
      </c>
    </row>
    <row r="31" spans="2:4" x14ac:dyDescent="0.25">
      <c r="B31" s="54">
        <v>41183</v>
      </c>
      <c r="C31" s="48">
        <v>0.77500000000000002</v>
      </c>
      <c r="D31" s="20" t="s">
        <v>62</v>
      </c>
    </row>
    <row r="32" spans="2:4" x14ac:dyDescent="0.25">
      <c r="B32" s="54">
        <v>41183</v>
      </c>
      <c r="C32" s="48">
        <v>0.81597222222222221</v>
      </c>
      <c r="D32" s="20" t="s">
        <v>62</v>
      </c>
    </row>
    <row r="33" spans="2:4" x14ac:dyDescent="0.25">
      <c r="B33" s="54">
        <v>41183</v>
      </c>
      <c r="C33" s="48">
        <v>0.81736111111111109</v>
      </c>
      <c r="D33" s="20" t="s">
        <v>62</v>
      </c>
    </row>
    <row r="34" spans="2:4" x14ac:dyDescent="0.25">
      <c r="B34" s="54">
        <v>41183</v>
      </c>
      <c r="C34" s="48">
        <v>0.83611111111111114</v>
      </c>
      <c r="D34" s="20" t="s">
        <v>62</v>
      </c>
    </row>
    <row r="35" spans="2:4" x14ac:dyDescent="0.25">
      <c r="B35" s="54">
        <v>41183</v>
      </c>
      <c r="C35" s="48">
        <v>0.86944444444444446</v>
      </c>
      <c r="D35" s="20" t="s">
        <v>62</v>
      </c>
    </row>
    <row r="36" spans="2:4" x14ac:dyDescent="0.25">
      <c r="B36" s="54">
        <v>41183</v>
      </c>
      <c r="C36" s="48">
        <v>0.87847222222222221</v>
      </c>
      <c r="D36" s="20" t="s">
        <v>62</v>
      </c>
    </row>
    <row r="37" spans="2:4" x14ac:dyDescent="0.25">
      <c r="B37" s="54">
        <v>41183</v>
      </c>
      <c r="C37" s="48">
        <v>0.90277777777777779</v>
      </c>
      <c r="D37" s="20" t="s">
        <v>62</v>
      </c>
    </row>
    <row r="38" spans="2:4" x14ac:dyDescent="0.25">
      <c r="B38" s="54">
        <v>41183</v>
      </c>
      <c r="C38" s="48">
        <v>0.93263888888888891</v>
      </c>
      <c r="D38" s="20" t="s">
        <v>62</v>
      </c>
    </row>
    <row r="39" spans="2:4" x14ac:dyDescent="0.25">
      <c r="B39" s="54">
        <v>41183</v>
      </c>
      <c r="C39" s="48">
        <v>0.9604166666666667</v>
      </c>
      <c r="D39" s="20" t="s">
        <v>62</v>
      </c>
    </row>
    <row r="40" spans="2:4" x14ac:dyDescent="0.25">
      <c r="B40" s="54">
        <v>41183</v>
      </c>
      <c r="C40" s="48">
        <v>1.0111111111111111</v>
      </c>
      <c r="D40" s="20" t="s">
        <v>63</v>
      </c>
    </row>
    <row r="41" spans="2:4" x14ac:dyDescent="0.25">
      <c r="B41" s="54">
        <v>41183</v>
      </c>
      <c r="C41" s="48">
        <v>1.0590277777777779</v>
      </c>
      <c r="D41" s="20" t="s">
        <v>62</v>
      </c>
    </row>
    <row r="42" spans="2:4" x14ac:dyDescent="0.25">
      <c r="B42" s="54">
        <v>41183</v>
      </c>
      <c r="C42" s="48">
        <v>1.0951388888888889</v>
      </c>
      <c r="D42" s="20" t="s">
        <v>63</v>
      </c>
    </row>
    <row r="43" spans="2:4" x14ac:dyDescent="0.25">
      <c r="B43" s="54">
        <v>41184</v>
      </c>
      <c r="C43" s="48">
        <v>0.37083333333333335</v>
      </c>
      <c r="D43" s="20" t="s">
        <v>63</v>
      </c>
    </row>
    <row r="44" spans="2:4" x14ac:dyDescent="0.25">
      <c r="B44" s="54">
        <v>41184</v>
      </c>
      <c r="C44" s="48">
        <v>0.39999999999999997</v>
      </c>
      <c r="D44" s="20" t="s">
        <v>62</v>
      </c>
    </row>
    <row r="45" spans="2:4" x14ac:dyDescent="0.25">
      <c r="B45" s="54">
        <v>41184</v>
      </c>
      <c r="C45" s="48">
        <v>0.40277777777777773</v>
      </c>
      <c r="D45" s="20" t="s">
        <v>62</v>
      </c>
    </row>
    <row r="46" spans="2:4" x14ac:dyDescent="0.25">
      <c r="B46" s="54">
        <v>41184</v>
      </c>
      <c r="C46" s="48">
        <v>0.40763888888888888</v>
      </c>
      <c r="D46" s="20" t="s">
        <v>62</v>
      </c>
    </row>
    <row r="47" spans="2:4" x14ac:dyDescent="0.25">
      <c r="B47" s="54">
        <v>41184</v>
      </c>
      <c r="C47" s="48">
        <v>0.42222222222222222</v>
      </c>
      <c r="D47" s="20" t="s">
        <v>62</v>
      </c>
    </row>
    <row r="48" spans="2:4" x14ac:dyDescent="0.25">
      <c r="B48" s="54">
        <v>41184</v>
      </c>
      <c r="C48" s="48">
        <v>0.42499999999999999</v>
      </c>
      <c r="D48" s="20" t="s">
        <v>62</v>
      </c>
    </row>
    <row r="49" spans="2:4" x14ac:dyDescent="0.25">
      <c r="B49" s="54">
        <v>41184</v>
      </c>
      <c r="C49" s="48">
        <v>0.42638888888888887</v>
      </c>
      <c r="D49" s="20" t="s">
        <v>62</v>
      </c>
    </row>
    <row r="50" spans="2:4" x14ac:dyDescent="0.25">
      <c r="B50" s="54">
        <v>41184</v>
      </c>
      <c r="C50" s="48">
        <v>0.43541666666666662</v>
      </c>
      <c r="D50" s="20" t="s">
        <v>62</v>
      </c>
    </row>
    <row r="51" spans="2:4" x14ac:dyDescent="0.25">
      <c r="B51" s="54">
        <v>41184</v>
      </c>
      <c r="C51" s="48">
        <v>0.44097222222222227</v>
      </c>
      <c r="D51" s="20" t="s">
        <v>63</v>
      </c>
    </row>
    <row r="52" spans="2:4" x14ac:dyDescent="0.25">
      <c r="B52" s="54">
        <v>41184</v>
      </c>
      <c r="C52" s="48">
        <v>0.44791666666666669</v>
      </c>
      <c r="D52" s="20" t="s">
        <v>62</v>
      </c>
    </row>
    <row r="53" spans="2:4" x14ac:dyDescent="0.25">
      <c r="B53" s="54">
        <v>41184</v>
      </c>
      <c r="C53" s="48">
        <v>0.46875</v>
      </c>
      <c r="D53" s="20" t="s">
        <v>62</v>
      </c>
    </row>
    <row r="54" spans="2:4" x14ac:dyDescent="0.25">
      <c r="B54" s="54">
        <v>41184</v>
      </c>
      <c r="C54" s="48">
        <v>0.50208333333333333</v>
      </c>
      <c r="D54" s="20" t="s">
        <v>62</v>
      </c>
    </row>
    <row r="55" spans="2:4" x14ac:dyDescent="0.25">
      <c r="B55" s="54">
        <v>41184</v>
      </c>
      <c r="C55" s="48">
        <v>0.50972222222222219</v>
      </c>
      <c r="D55" s="20" t="s">
        <v>62</v>
      </c>
    </row>
    <row r="56" spans="2:4" x14ac:dyDescent="0.25">
      <c r="B56" s="54">
        <v>41184</v>
      </c>
      <c r="C56" s="48">
        <v>0.51944444444444449</v>
      </c>
      <c r="D56" s="20" t="s">
        <v>62</v>
      </c>
    </row>
    <row r="57" spans="2:4" x14ac:dyDescent="0.25">
      <c r="B57" s="54">
        <v>41184</v>
      </c>
      <c r="C57" s="48">
        <v>0.52361111111111114</v>
      </c>
      <c r="D57" s="20" t="s">
        <v>62</v>
      </c>
    </row>
    <row r="58" spans="2:4" x14ac:dyDescent="0.25">
      <c r="B58" s="54">
        <v>41184</v>
      </c>
      <c r="C58" s="48">
        <v>0.56805555555555554</v>
      </c>
      <c r="D58" s="20" t="s">
        <v>62</v>
      </c>
    </row>
    <row r="59" spans="2:4" x14ac:dyDescent="0.25">
      <c r="B59" s="54">
        <v>41184</v>
      </c>
      <c r="C59" s="48">
        <v>0.61041666666666672</v>
      </c>
      <c r="D59" s="20" t="s">
        <v>62</v>
      </c>
    </row>
    <row r="60" spans="2:4" x14ac:dyDescent="0.25">
      <c r="B60" s="54">
        <v>41184</v>
      </c>
      <c r="C60" s="48">
        <v>0.66111111111111109</v>
      </c>
      <c r="D60" s="20" t="s">
        <v>62</v>
      </c>
    </row>
    <row r="61" spans="2:4" x14ac:dyDescent="0.25">
      <c r="B61" s="54">
        <v>41184</v>
      </c>
      <c r="C61" s="48">
        <v>0.67083333333333339</v>
      </c>
      <c r="D61" s="20" t="s">
        <v>62</v>
      </c>
    </row>
    <row r="62" spans="2:4" x14ac:dyDescent="0.25">
      <c r="B62" s="54">
        <v>41184</v>
      </c>
      <c r="C62" s="48">
        <v>0.68402777777777779</v>
      </c>
      <c r="D62" s="20" t="s">
        <v>63</v>
      </c>
    </row>
    <row r="63" spans="2:4" x14ac:dyDescent="0.25">
      <c r="B63" s="54">
        <v>41184</v>
      </c>
      <c r="C63" s="48">
        <v>0.68888888888888899</v>
      </c>
      <c r="D63" s="20" t="s">
        <v>63</v>
      </c>
    </row>
    <row r="64" spans="2:4" x14ac:dyDescent="0.25">
      <c r="B64" s="54">
        <v>41184</v>
      </c>
      <c r="C64" s="48">
        <v>0.7270833333333333</v>
      </c>
      <c r="D64" s="20" t="s">
        <v>62</v>
      </c>
    </row>
    <row r="65" spans="2:4" x14ac:dyDescent="0.25">
      <c r="B65" s="54">
        <v>41184</v>
      </c>
      <c r="C65" s="48">
        <v>0.75416666666666676</v>
      </c>
      <c r="D65" s="20" t="s">
        <v>63</v>
      </c>
    </row>
    <row r="66" spans="2:4" x14ac:dyDescent="0.25">
      <c r="B66" s="54">
        <v>41184</v>
      </c>
      <c r="C66" s="48">
        <v>0.75902777777777775</v>
      </c>
      <c r="D66" s="20" t="s">
        <v>63</v>
      </c>
    </row>
    <row r="67" spans="2:4" x14ac:dyDescent="0.25">
      <c r="B67" s="54">
        <v>41185</v>
      </c>
      <c r="C67" s="48">
        <v>0.38472222222222219</v>
      </c>
      <c r="D67" s="20" t="s">
        <v>63</v>
      </c>
    </row>
    <row r="68" spans="2:4" x14ac:dyDescent="0.25">
      <c r="B68" s="54">
        <v>41185</v>
      </c>
      <c r="C68" s="48">
        <v>0.42430555555555555</v>
      </c>
      <c r="D68" s="20" t="s">
        <v>63</v>
      </c>
    </row>
    <row r="69" spans="2:4" x14ac:dyDescent="0.25">
      <c r="B69" s="54">
        <v>41185</v>
      </c>
      <c r="C69" s="48">
        <v>0.42986111111111108</v>
      </c>
      <c r="D69" s="20" t="s">
        <v>62</v>
      </c>
    </row>
    <row r="70" spans="2:4" x14ac:dyDescent="0.25">
      <c r="B70" s="54">
        <v>41185</v>
      </c>
      <c r="C70" s="48">
        <v>0.44166666666666665</v>
      </c>
      <c r="D70" s="20" t="s">
        <v>62</v>
      </c>
    </row>
    <row r="71" spans="2:4" x14ac:dyDescent="0.25">
      <c r="B71" s="54">
        <v>41185</v>
      </c>
      <c r="C71" s="48">
        <v>0.46319444444444446</v>
      </c>
      <c r="D71" s="20" t="s">
        <v>62</v>
      </c>
    </row>
    <row r="72" spans="2:4" x14ac:dyDescent="0.25">
      <c r="B72" s="54">
        <v>41185</v>
      </c>
      <c r="C72" s="48">
        <v>0.48125000000000001</v>
      </c>
      <c r="D72" s="20" t="s">
        <v>63</v>
      </c>
    </row>
    <row r="73" spans="2:4" x14ac:dyDescent="0.25">
      <c r="B73" s="54">
        <v>41185</v>
      </c>
      <c r="C73" s="48">
        <v>0.4861111111111111</v>
      </c>
      <c r="D73" s="20" t="s">
        <v>62</v>
      </c>
    </row>
    <row r="74" spans="2:4" x14ac:dyDescent="0.25">
      <c r="B74" s="54">
        <v>41185</v>
      </c>
      <c r="C74" s="48">
        <v>0.51944444444444449</v>
      </c>
      <c r="D74" s="20" t="s">
        <v>62</v>
      </c>
    </row>
    <row r="75" spans="2:4" x14ac:dyDescent="0.25">
      <c r="B75" s="54">
        <v>41185</v>
      </c>
      <c r="C75" s="48">
        <v>0.54513888888888895</v>
      </c>
      <c r="D75" s="20" t="s">
        <v>62</v>
      </c>
    </row>
    <row r="76" spans="2:4" x14ac:dyDescent="0.25">
      <c r="B76" s="54">
        <v>41185</v>
      </c>
      <c r="C76" s="48">
        <v>0.54583333333333328</v>
      </c>
      <c r="D76" s="20" t="s">
        <v>62</v>
      </c>
    </row>
    <row r="77" spans="2:4" x14ac:dyDescent="0.25">
      <c r="B77" s="54">
        <v>41185</v>
      </c>
      <c r="C77" s="48">
        <v>0.54861111111111105</v>
      </c>
      <c r="D77" s="20" t="s">
        <v>62</v>
      </c>
    </row>
    <row r="78" spans="2:4" x14ac:dyDescent="0.25">
      <c r="B78" s="54">
        <v>41185</v>
      </c>
      <c r="C78" s="48">
        <v>0.57708333333333328</v>
      </c>
      <c r="D78" s="20" t="s">
        <v>62</v>
      </c>
    </row>
    <row r="79" spans="2:4" x14ac:dyDescent="0.25">
      <c r="B79" s="54">
        <v>41185</v>
      </c>
      <c r="C79" s="48">
        <v>0.60763888888888895</v>
      </c>
      <c r="D79" s="20" t="s">
        <v>62</v>
      </c>
    </row>
    <row r="80" spans="2:4" x14ac:dyDescent="0.25">
      <c r="B80" s="54">
        <v>41185</v>
      </c>
      <c r="C80" s="48">
        <v>0.60833333333333328</v>
      </c>
      <c r="D80" s="20" t="s">
        <v>62</v>
      </c>
    </row>
    <row r="81" spans="2:4" x14ac:dyDescent="0.25">
      <c r="B81" s="54">
        <v>41185</v>
      </c>
      <c r="C81" s="48">
        <v>0.63750000000000007</v>
      </c>
      <c r="D81" s="20" t="s">
        <v>62</v>
      </c>
    </row>
    <row r="82" spans="2:4" x14ac:dyDescent="0.25">
      <c r="B82" s="54">
        <v>41185</v>
      </c>
      <c r="C82" s="48">
        <v>0.64652777777777781</v>
      </c>
      <c r="D82" s="20" t="s">
        <v>62</v>
      </c>
    </row>
    <row r="83" spans="2:4" x14ac:dyDescent="0.25">
      <c r="B83" s="54">
        <v>41186</v>
      </c>
      <c r="C83" s="48">
        <v>0.26805555555555555</v>
      </c>
      <c r="D83" s="20" t="s">
        <v>63</v>
      </c>
    </row>
    <row r="84" spans="2:4" x14ac:dyDescent="0.25">
      <c r="B84" s="54">
        <v>41186</v>
      </c>
      <c r="C84" s="48">
        <v>0.32708333333333334</v>
      </c>
      <c r="D84" s="20" t="s">
        <v>62</v>
      </c>
    </row>
    <row r="85" spans="2:4" x14ac:dyDescent="0.25">
      <c r="B85" s="54">
        <v>41186</v>
      </c>
      <c r="C85" s="48">
        <v>0.33402777777777781</v>
      </c>
      <c r="D85" s="20" t="s">
        <v>63</v>
      </c>
    </row>
    <row r="86" spans="2:4" x14ac:dyDescent="0.25">
      <c r="B86" s="54">
        <v>41186</v>
      </c>
      <c r="C86" s="48">
        <v>0.33680555555555558</v>
      </c>
      <c r="D86" s="20" t="s">
        <v>62</v>
      </c>
    </row>
    <row r="87" spans="2:4" x14ac:dyDescent="0.25">
      <c r="B87" s="54">
        <v>41186</v>
      </c>
      <c r="C87" s="48">
        <v>0.33958333333333335</v>
      </c>
      <c r="D87" s="20" t="s">
        <v>62</v>
      </c>
    </row>
    <row r="88" spans="2:4" x14ac:dyDescent="0.25">
      <c r="B88" s="54">
        <v>41186</v>
      </c>
      <c r="C88" s="48">
        <v>0.37986111111111115</v>
      </c>
      <c r="D88" s="20" t="s">
        <v>62</v>
      </c>
    </row>
    <row r="89" spans="2:4" x14ac:dyDescent="0.25">
      <c r="B89" s="54">
        <v>41186</v>
      </c>
      <c r="C89" s="48">
        <v>0.3888888888888889</v>
      </c>
      <c r="D89" s="20" t="s">
        <v>62</v>
      </c>
    </row>
    <row r="90" spans="2:4" x14ac:dyDescent="0.25">
      <c r="B90" s="54">
        <v>41186</v>
      </c>
      <c r="C90" s="48">
        <v>0.39652777777777781</v>
      </c>
      <c r="D90" s="20" t="s">
        <v>62</v>
      </c>
    </row>
    <row r="91" spans="2:4" x14ac:dyDescent="0.25">
      <c r="B91" s="54">
        <v>41186</v>
      </c>
      <c r="C91" s="48">
        <v>0.39999999999999997</v>
      </c>
      <c r="D91" s="20" t="s">
        <v>62</v>
      </c>
    </row>
    <row r="92" spans="2:4" x14ac:dyDescent="0.25">
      <c r="B92" s="54">
        <v>41186</v>
      </c>
      <c r="C92" s="48">
        <v>0.4291666666666667</v>
      </c>
      <c r="D92" s="20" t="s">
        <v>63</v>
      </c>
    </row>
    <row r="93" spans="2:4" x14ac:dyDescent="0.25">
      <c r="B93" s="54">
        <v>41186</v>
      </c>
      <c r="C93" s="48">
        <v>0.48819444444444443</v>
      </c>
      <c r="D93" s="20" t="s">
        <v>62</v>
      </c>
    </row>
    <row r="94" spans="2:4" x14ac:dyDescent="0.25">
      <c r="B94" s="54">
        <v>41186</v>
      </c>
      <c r="C94" s="48">
        <v>0.50416666666666665</v>
      </c>
      <c r="D94" s="20" t="s">
        <v>62</v>
      </c>
    </row>
    <row r="95" spans="2:4" x14ac:dyDescent="0.25">
      <c r="B95" s="54">
        <v>41186</v>
      </c>
      <c r="C95" s="48">
        <v>0.53888888888888886</v>
      </c>
      <c r="D95" s="20" t="s">
        <v>63</v>
      </c>
    </row>
    <row r="96" spans="2:4" x14ac:dyDescent="0.25">
      <c r="B96" s="54">
        <v>41186</v>
      </c>
      <c r="C96" s="48">
        <v>0.57847222222222217</v>
      </c>
      <c r="D96" s="20" t="s">
        <v>63</v>
      </c>
    </row>
    <row r="97" spans="2:4" x14ac:dyDescent="0.25">
      <c r="B97" s="54">
        <v>41186</v>
      </c>
      <c r="C97" s="48">
        <v>0.61597222222222225</v>
      </c>
      <c r="D97" s="20" t="s">
        <v>63</v>
      </c>
    </row>
    <row r="98" spans="2:4" x14ac:dyDescent="0.25">
      <c r="B98" s="54">
        <v>41186</v>
      </c>
      <c r="C98" s="48">
        <v>0.63680555555555551</v>
      </c>
      <c r="D98" s="20" t="s">
        <v>62</v>
      </c>
    </row>
    <row r="99" spans="2:4" x14ac:dyDescent="0.25">
      <c r="B99" s="54">
        <v>41186</v>
      </c>
      <c r="C99" s="48">
        <v>0.66388888888888886</v>
      </c>
      <c r="D99" s="20" t="s">
        <v>62</v>
      </c>
    </row>
    <row r="100" spans="2:4" x14ac:dyDescent="0.25">
      <c r="B100" s="54">
        <v>41186</v>
      </c>
      <c r="C100" s="48">
        <v>0.66736111111111107</v>
      </c>
      <c r="D100" s="20" t="s">
        <v>62</v>
      </c>
    </row>
    <row r="101" spans="2:4" x14ac:dyDescent="0.25">
      <c r="B101" s="54">
        <v>41186</v>
      </c>
      <c r="C101" s="48">
        <v>0.68194444444444446</v>
      </c>
      <c r="D101" s="20" t="s">
        <v>63</v>
      </c>
    </row>
    <row r="102" spans="2:4" x14ac:dyDescent="0.25">
      <c r="B102" s="54">
        <v>41186</v>
      </c>
      <c r="C102" s="48">
        <v>0.73263888888888884</v>
      </c>
      <c r="D102" s="20" t="s">
        <v>62</v>
      </c>
    </row>
    <row r="103" spans="2:4" x14ac:dyDescent="0.25">
      <c r="B103" s="54">
        <v>41186</v>
      </c>
      <c r="C103" s="48">
        <v>0.7402777777777777</v>
      </c>
      <c r="D103" s="20" t="s">
        <v>63</v>
      </c>
    </row>
    <row r="104" spans="2:4" x14ac:dyDescent="0.25">
      <c r="B104" s="54">
        <v>41186</v>
      </c>
      <c r="C104" s="48">
        <v>0.74652777777777779</v>
      </c>
      <c r="D104" s="20" t="s">
        <v>62</v>
      </c>
    </row>
    <row r="105" spans="2:4" x14ac:dyDescent="0.25">
      <c r="B105" s="54">
        <v>41186</v>
      </c>
      <c r="C105" s="48">
        <v>0.76666666666666661</v>
      </c>
      <c r="D105" s="20" t="s">
        <v>62</v>
      </c>
    </row>
    <row r="106" spans="2:4" x14ac:dyDescent="0.25">
      <c r="B106" s="54">
        <v>41186</v>
      </c>
      <c r="C106" s="48">
        <v>0.8305555555555556</v>
      </c>
      <c r="D106" s="20" t="s">
        <v>62</v>
      </c>
    </row>
    <row r="107" spans="2:4" x14ac:dyDescent="0.25">
      <c r="B107" s="54">
        <v>41186</v>
      </c>
      <c r="C107" s="48">
        <v>0.83611111111111114</v>
      </c>
      <c r="D107" s="20" t="s">
        <v>62</v>
      </c>
    </row>
    <row r="108" spans="2:4" x14ac:dyDescent="0.25">
      <c r="B108" s="54">
        <v>41186</v>
      </c>
      <c r="C108" s="48">
        <v>0.84444444444444444</v>
      </c>
      <c r="D108" s="20" t="s">
        <v>62</v>
      </c>
    </row>
    <row r="109" spans="2:4" x14ac:dyDescent="0.25">
      <c r="B109" s="54">
        <v>41186</v>
      </c>
      <c r="C109" s="48">
        <v>0.84861111111111109</v>
      </c>
      <c r="D109" s="20" t="s">
        <v>62</v>
      </c>
    </row>
    <row r="110" spans="2:4" x14ac:dyDescent="0.25">
      <c r="B110" s="54">
        <v>41186</v>
      </c>
      <c r="C110" s="48">
        <v>0.8534722222222223</v>
      </c>
      <c r="D110" s="20" t="s">
        <v>63</v>
      </c>
    </row>
    <row r="111" spans="2:4" x14ac:dyDescent="0.25">
      <c r="B111" s="54">
        <v>41186</v>
      </c>
      <c r="C111" s="48">
        <v>0.8652777777777777</v>
      </c>
      <c r="D111" s="20" t="s">
        <v>62</v>
      </c>
    </row>
    <row r="112" spans="2:4" x14ac:dyDescent="0.25">
      <c r="B112" s="54">
        <v>41186</v>
      </c>
      <c r="C112" s="48">
        <v>0.90694444444444444</v>
      </c>
      <c r="D112" s="20" t="s">
        <v>62</v>
      </c>
    </row>
    <row r="113" spans="2:4" x14ac:dyDescent="0.25">
      <c r="B113" s="54">
        <v>41186</v>
      </c>
      <c r="C113" s="48">
        <v>0.92847222222222225</v>
      </c>
      <c r="D113" s="20" t="s">
        <v>62</v>
      </c>
    </row>
    <row r="114" spans="2:4" x14ac:dyDescent="0.25">
      <c r="B114" s="54">
        <v>41186</v>
      </c>
      <c r="C114" s="48">
        <v>0.94444444444444453</v>
      </c>
      <c r="D114" s="20" t="s">
        <v>62</v>
      </c>
    </row>
    <row r="115" spans="2:4" x14ac:dyDescent="0.25">
      <c r="B115" s="54">
        <v>41186</v>
      </c>
      <c r="C115" s="48">
        <v>0.95972222222222225</v>
      </c>
      <c r="D115" s="20" t="s">
        <v>62</v>
      </c>
    </row>
    <row r="116" spans="2:4" x14ac:dyDescent="0.25">
      <c r="B116" s="54">
        <v>41186</v>
      </c>
      <c r="C116" s="48">
        <v>0.97222222222222221</v>
      </c>
      <c r="D116" s="20" t="s">
        <v>62</v>
      </c>
    </row>
    <row r="117" spans="2:4" x14ac:dyDescent="0.25">
      <c r="B117" s="54">
        <v>41186</v>
      </c>
      <c r="C117" s="48">
        <v>0.97430555555555554</v>
      </c>
      <c r="D117" s="20" t="s">
        <v>62</v>
      </c>
    </row>
    <row r="118" spans="2:4" x14ac:dyDescent="0.25">
      <c r="B118" s="54">
        <v>41186</v>
      </c>
      <c r="C118" s="48">
        <v>0.97499999999999998</v>
      </c>
      <c r="D118" s="20" t="s">
        <v>62</v>
      </c>
    </row>
    <row r="119" spans="2:4" x14ac:dyDescent="0.25">
      <c r="B119" s="54">
        <v>41186</v>
      </c>
      <c r="C119" s="48">
        <v>0.99791666666666667</v>
      </c>
      <c r="D119" s="20" t="s">
        <v>62</v>
      </c>
    </row>
    <row r="120" spans="2:4" x14ac:dyDescent="0.25">
      <c r="B120" s="54">
        <v>41186</v>
      </c>
      <c r="C120" s="48">
        <v>1.0402777777777776</v>
      </c>
      <c r="D120" s="20" t="s">
        <v>62</v>
      </c>
    </row>
    <row r="121" spans="2:4" x14ac:dyDescent="0.25">
      <c r="B121" s="54">
        <v>41186</v>
      </c>
      <c r="C121" s="48">
        <v>1.0444444444444445</v>
      </c>
      <c r="D121" s="20" t="s">
        <v>63</v>
      </c>
    </row>
    <row r="122" spans="2:4" x14ac:dyDescent="0.25">
      <c r="B122" s="54">
        <v>41186</v>
      </c>
      <c r="C122" s="48">
        <v>1.1034722222222222</v>
      </c>
      <c r="D122" s="20" t="s">
        <v>63</v>
      </c>
    </row>
    <row r="123" spans="2:4" x14ac:dyDescent="0.25">
      <c r="B123" s="54">
        <v>41187</v>
      </c>
      <c r="C123" s="48">
        <v>0.37638888888888888</v>
      </c>
      <c r="D123" s="20" t="s">
        <v>62</v>
      </c>
    </row>
    <row r="124" spans="2:4" x14ac:dyDescent="0.25">
      <c r="B124" s="54">
        <v>41187</v>
      </c>
      <c r="C124" s="48">
        <v>0.38680555555555557</v>
      </c>
      <c r="D124" s="20" t="s">
        <v>62</v>
      </c>
    </row>
    <row r="125" spans="2:4" x14ac:dyDescent="0.25">
      <c r="B125" s="54">
        <v>41187</v>
      </c>
      <c r="C125" s="48">
        <v>0.39513888888888887</v>
      </c>
      <c r="D125" s="20" t="s">
        <v>62</v>
      </c>
    </row>
    <row r="126" spans="2:4" x14ac:dyDescent="0.25">
      <c r="B126" s="54">
        <v>41187</v>
      </c>
      <c r="C126" s="48">
        <v>0.39930555555555558</v>
      </c>
      <c r="D126" s="20" t="s">
        <v>62</v>
      </c>
    </row>
    <row r="127" spans="2:4" x14ac:dyDescent="0.25">
      <c r="B127" s="54">
        <v>41187</v>
      </c>
      <c r="C127" s="48">
        <v>0.40347222222222223</v>
      </c>
      <c r="D127" s="20" t="s">
        <v>62</v>
      </c>
    </row>
    <row r="128" spans="2:4" x14ac:dyDescent="0.25">
      <c r="B128" s="54">
        <v>41187</v>
      </c>
      <c r="C128" s="48">
        <v>0.4069444444444445</v>
      </c>
      <c r="D128" s="20" t="s">
        <v>62</v>
      </c>
    </row>
    <row r="129" spans="2:4" x14ac:dyDescent="0.25">
      <c r="B129" s="54">
        <v>41187</v>
      </c>
      <c r="C129" s="48">
        <v>0.40763888888888888</v>
      </c>
      <c r="D129" s="20" t="s">
        <v>62</v>
      </c>
    </row>
    <row r="130" spans="2:4" x14ac:dyDescent="0.25">
      <c r="B130" s="54">
        <v>41187</v>
      </c>
      <c r="C130" s="48">
        <v>0.4145833333333333</v>
      </c>
      <c r="D130" s="20" t="s">
        <v>62</v>
      </c>
    </row>
    <row r="131" spans="2:4" x14ac:dyDescent="0.25">
      <c r="B131" s="54">
        <v>41187</v>
      </c>
      <c r="C131" s="48">
        <v>0.43611111111111112</v>
      </c>
      <c r="D131" s="20" t="s">
        <v>62</v>
      </c>
    </row>
    <row r="132" spans="2:4" x14ac:dyDescent="0.25">
      <c r="B132" s="54">
        <v>41187</v>
      </c>
      <c r="C132" s="48">
        <v>0.44791666666666669</v>
      </c>
      <c r="D132" s="20" t="s">
        <v>62</v>
      </c>
    </row>
    <row r="133" spans="2:4" x14ac:dyDescent="0.25">
      <c r="B133" s="54">
        <v>41187</v>
      </c>
      <c r="C133" s="48">
        <v>0.47638888888888892</v>
      </c>
      <c r="D133" s="20" t="s">
        <v>62</v>
      </c>
    </row>
    <row r="134" spans="2:4" x14ac:dyDescent="0.25">
      <c r="B134" s="54">
        <v>41187</v>
      </c>
      <c r="C134" s="48">
        <v>0.48472222222222222</v>
      </c>
      <c r="D134" s="20" t="s">
        <v>62</v>
      </c>
    </row>
    <row r="135" spans="2:4" x14ac:dyDescent="0.25">
      <c r="B135" s="54">
        <v>41187</v>
      </c>
      <c r="C135" s="48">
        <v>0.51944444444444449</v>
      </c>
      <c r="D135" s="20" t="s">
        <v>62</v>
      </c>
    </row>
    <row r="136" spans="2:4" x14ac:dyDescent="0.25">
      <c r="B136" s="54">
        <v>41187</v>
      </c>
      <c r="C136" s="48">
        <v>0.57986111111111105</v>
      </c>
      <c r="D136" s="20" t="s">
        <v>62</v>
      </c>
    </row>
    <row r="137" spans="2:4" x14ac:dyDescent="0.25">
      <c r="B137" s="54">
        <v>41187</v>
      </c>
      <c r="C137" s="48">
        <v>0.59097222222222223</v>
      </c>
      <c r="D137" s="20" t="s">
        <v>62</v>
      </c>
    </row>
    <row r="138" spans="2:4" x14ac:dyDescent="0.25">
      <c r="B138" s="54">
        <v>41187</v>
      </c>
      <c r="C138" s="48">
        <v>0.63958333333333328</v>
      </c>
      <c r="D138" s="20" t="s">
        <v>63</v>
      </c>
    </row>
    <row r="139" spans="2:4" x14ac:dyDescent="0.25">
      <c r="B139" s="54">
        <v>41187</v>
      </c>
      <c r="C139" s="48">
        <v>0.64652777777777781</v>
      </c>
      <c r="D139" s="20" t="s">
        <v>62</v>
      </c>
    </row>
    <row r="140" spans="2:4" x14ac:dyDescent="0.25">
      <c r="B140" s="54">
        <v>41187</v>
      </c>
      <c r="C140" s="48">
        <v>0.6479166666666667</v>
      </c>
      <c r="D140" s="20" t="s">
        <v>62</v>
      </c>
    </row>
    <row r="141" spans="2:4" x14ac:dyDescent="0.25">
      <c r="B141" s="54">
        <v>41187</v>
      </c>
      <c r="C141" s="48">
        <v>0.65763888888888888</v>
      </c>
      <c r="D141" s="20" t="s">
        <v>62</v>
      </c>
    </row>
    <row r="142" spans="2:4" x14ac:dyDescent="0.25">
      <c r="B142" s="54">
        <v>41187</v>
      </c>
      <c r="C142" s="48">
        <v>0.67291666666666661</v>
      </c>
      <c r="D142" s="20" t="s">
        <v>62</v>
      </c>
    </row>
    <row r="143" spans="2:4" x14ac:dyDescent="0.25">
      <c r="B143" s="54">
        <v>41187</v>
      </c>
      <c r="C143" s="48">
        <v>0.68611111111111101</v>
      </c>
      <c r="D143" s="20" t="s">
        <v>62</v>
      </c>
    </row>
    <row r="144" spans="2:4" x14ac:dyDescent="0.25">
      <c r="B144" s="54">
        <v>41187</v>
      </c>
      <c r="C144" s="48">
        <v>0.7270833333333333</v>
      </c>
      <c r="D144" s="20" t="s">
        <v>62</v>
      </c>
    </row>
    <row r="145" spans="2:4" x14ac:dyDescent="0.25">
      <c r="B145" s="54">
        <v>41187</v>
      </c>
      <c r="C145" s="48">
        <v>0.75208333333333333</v>
      </c>
      <c r="D145" s="20" t="s">
        <v>62</v>
      </c>
    </row>
    <row r="146" spans="2:4" x14ac:dyDescent="0.25">
      <c r="B146" s="54">
        <v>41187</v>
      </c>
      <c r="C146" s="48">
        <v>0.7631944444444444</v>
      </c>
      <c r="D146" s="20" t="s">
        <v>63</v>
      </c>
    </row>
    <row r="147" spans="2:4" x14ac:dyDescent="0.25">
      <c r="B147" s="54">
        <v>41187</v>
      </c>
      <c r="C147" s="48">
        <v>0.79583333333333339</v>
      </c>
      <c r="D147" s="20" t="s">
        <v>62</v>
      </c>
    </row>
    <row r="148" spans="2:4" x14ac:dyDescent="0.25">
      <c r="B148" s="54">
        <v>41187</v>
      </c>
      <c r="C148" s="48">
        <v>0.83611111111111114</v>
      </c>
      <c r="D148" s="20" t="s">
        <v>62</v>
      </c>
    </row>
    <row r="149" spans="2:4" x14ac:dyDescent="0.25">
      <c r="B149" s="54">
        <v>41187</v>
      </c>
      <c r="C149" s="48">
        <v>0.84097222222222223</v>
      </c>
      <c r="D149" s="20" t="s">
        <v>62</v>
      </c>
    </row>
    <row r="150" spans="2:4" x14ac:dyDescent="0.25">
      <c r="B150" s="54">
        <v>41187</v>
      </c>
      <c r="C150" s="48">
        <v>0.86597222222222225</v>
      </c>
      <c r="D150" s="20" t="s">
        <v>62</v>
      </c>
    </row>
    <row r="151" spans="2:4" x14ac:dyDescent="0.25">
      <c r="B151" s="54">
        <v>41187</v>
      </c>
      <c r="C151" s="48">
        <v>0.90833333333333333</v>
      </c>
      <c r="D151" s="20" t="s">
        <v>62</v>
      </c>
    </row>
    <row r="152" spans="2:4" x14ac:dyDescent="0.25">
      <c r="B152" s="54">
        <v>41187</v>
      </c>
      <c r="C152" s="48">
        <v>0.91875000000000007</v>
      </c>
      <c r="D152" s="20" t="s">
        <v>63</v>
      </c>
    </row>
    <row r="153" spans="2:4" x14ac:dyDescent="0.25">
      <c r="B153" s="54">
        <v>41187</v>
      </c>
      <c r="C153" s="48">
        <v>0.9472222222222223</v>
      </c>
      <c r="D153" s="20" t="s">
        <v>62</v>
      </c>
    </row>
    <row r="154" spans="2:4" x14ac:dyDescent="0.25">
      <c r="B154" s="54">
        <v>41187</v>
      </c>
      <c r="C154" s="48">
        <v>0.95763888888888893</v>
      </c>
      <c r="D154" s="20" t="s">
        <v>62</v>
      </c>
    </row>
    <row r="155" spans="2:4" x14ac:dyDescent="0.25">
      <c r="B155" s="54">
        <v>41187</v>
      </c>
      <c r="C155" s="48">
        <v>0.99444444444444446</v>
      </c>
      <c r="D155" s="20" t="s">
        <v>62</v>
      </c>
    </row>
    <row r="156" spans="2:4" x14ac:dyDescent="0.25">
      <c r="B156" s="54">
        <v>41187</v>
      </c>
      <c r="C156" s="48">
        <v>0.99583333333333324</v>
      </c>
      <c r="D156" s="20" t="s">
        <v>62</v>
      </c>
    </row>
    <row r="157" spans="2:4" x14ac:dyDescent="0.25">
      <c r="B157" s="54">
        <v>41187</v>
      </c>
      <c r="C157" s="48">
        <v>1.03125</v>
      </c>
      <c r="D157" s="20" t="s">
        <v>62</v>
      </c>
    </row>
    <row r="158" spans="2:4" x14ac:dyDescent="0.25">
      <c r="B158" s="54">
        <v>41187</v>
      </c>
      <c r="C158" s="48">
        <v>1.0604166666666666</v>
      </c>
      <c r="D158" s="20" t="s">
        <v>62</v>
      </c>
    </row>
    <row r="159" spans="2:4" x14ac:dyDescent="0.25">
      <c r="B159" s="54">
        <v>41188</v>
      </c>
      <c r="C159" s="48">
        <v>0.31944444444444448</v>
      </c>
      <c r="D159" s="20" t="s">
        <v>62</v>
      </c>
    </row>
    <row r="160" spans="2:4" x14ac:dyDescent="0.25">
      <c r="B160" s="54">
        <v>41188</v>
      </c>
      <c r="C160" s="48">
        <v>0.32361111111111113</v>
      </c>
      <c r="D160" s="20" t="s">
        <v>62</v>
      </c>
    </row>
    <row r="161" spans="2:4" x14ac:dyDescent="0.25">
      <c r="B161" s="54">
        <v>41188</v>
      </c>
      <c r="C161" s="48">
        <v>0.35069444444444442</v>
      </c>
      <c r="D161" s="20" t="s">
        <v>62</v>
      </c>
    </row>
    <row r="162" spans="2:4" x14ac:dyDescent="0.25">
      <c r="B162" s="54">
        <v>41188</v>
      </c>
      <c r="C162" s="48">
        <v>0.41041666666666665</v>
      </c>
      <c r="D162" s="20" t="s">
        <v>62</v>
      </c>
    </row>
    <row r="163" spans="2:4" x14ac:dyDescent="0.25">
      <c r="B163" s="54">
        <v>41188</v>
      </c>
      <c r="C163" s="48">
        <v>0.41944444444444445</v>
      </c>
      <c r="D163" s="20" t="s">
        <v>62</v>
      </c>
    </row>
    <row r="164" spans="2:4" x14ac:dyDescent="0.25">
      <c r="B164" s="54">
        <v>41188</v>
      </c>
      <c r="C164" s="48">
        <v>0.4777777777777778</v>
      </c>
      <c r="D164" s="20" t="s">
        <v>62</v>
      </c>
    </row>
    <row r="165" spans="2:4" x14ac:dyDescent="0.25">
      <c r="B165" s="54">
        <v>41188</v>
      </c>
      <c r="C165" s="48">
        <v>0.47916666666666669</v>
      </c>
      <c r="D165" s="20" t="s">
        <v>62</v>
      </c>
    </row>
    <row r="166" spans="2:4" x14ac:dyDescent="0.25">
      <c r="B166" s="54">
        <v>41188</v>
      </c>
      <c r="C166" s="48">
        <v>0.49652777777777773</v>
      </c>
      <c r="D166" s="20" t="s">
        <v>62</v>
      </c>
    </row>
    <row r="167" spans="2:4" x14ac:dyDescent="0.25">
      <c r="B167" s="54">
        <v>41188</v>
      </c>
      <c r="C167" s="48">
        <v>0.50486111111111109</v>
      </c>
      <c r="D167" s="20" t="s">
        <v>62</v>
      </c>
    </row>
    <row r="168" spans="2:4" x14ac:dyDescent="0.25">
      <c r="B168" s="54">
        <v>41188</v>
      </c>
      <c r="C168" s="48">
        <v>0.51250000000000007</v>
      </c>
      <c r="D168" s="20" t="s">
        <v>62</v>
      </c>
    </row>
    <row r="169" spans="2:4" x14ac:dyDescent="0.25">
      <c r="B169" s="54">
        <v>41188</v>
      </c>
      <c r="C169" s="48">
        <v>0.54722222222222217</v>
      </c>
      <c r="D169" s="20" t="s">
        <v>63</v>
      </c>
    </row>
    <row r="170" spans="2:4" x14ac:dyDescent="0.25">
      <c r="B170" s="54">
        <v>41188</v>
      </c>
      <c r="C170" s="48">
        <v>0.56180555555555556</v>
      </c>
      <c r="D170" s="20" t="s">
        <v>62</v>
      </c>
    </row>
    <row r="171" spans="2:4" x14ac:dyDescent="0.25">
      <c r="B171" s="54">
        <v>41188</v>
      </c>
      <c r="C171" s="48">
        <v>0.56458333333333333</v>
      </c>
      <c r="D171" s="20" t="s">
        <v>62</v>
      </c>
    </row>
    <row r="172" spans="2:4" x14ac:dyDescent="0.25">
      <c r="B172" s="54">
        <v>41188</v>
      </c>
      <c r="C172" s="48">
        <v>0.60277777777777775</v>
      </c>
      <c r="D172" s="20" t="s">
        <v>62</v>
      </c>
    </row>
    <row r="173" spans="2:4" x14ac:dyDescent="0.25">
      <c r="B173" s="54">
        <v>41188</v>
      </c>
      <c r="C173" s="48">
        <v>0.62569444444444444</v>
      </c>
      <c r="D173" s="20" t="s">
        <v>62</v>
      </c>
    </row>
    <row r="174" spans="2:4" x14ac:dyDescent="0.25">
      <c r="B174" s="54">
        <v>41188</v>
      </c>
      <c r="C174" s="48">
        <v>0.66319444444444442</v>
      </c>
      <c r="D174" s="20" t="s">
        <v>62</v>
      </c>
    </row>
    <row r="175" spans="2:4" x14ac:dyDescent="0.25">
      <c r="B175" s="54">
        <v>41188</v>
      </c>
      <c r="C175" s="48">
        <v>0.66736111111111107</v>
      </c>
      <c r="D175" s="20" t="s">
        <v>62</v>
      </c>
    </row>
    <row r="176" spans="2:4" x14ac:dyDescent="0.25">
      <c r="B176" s="54">
        <v>41188</v>
      </c>
      <c r="C176" s="48">
        <v>0.71180555555555547</v>
      </c>
      <c r="D176" s="20" t="s">
        <v>62</v>
      </c>
    </row>
    <row r="177" spans="2:4" x14ac:dyDescent="0.25">
      <c r="B177" s="54">
        <v>41188</v>
      </c>
      <c r="C177" s="48">
        <v>0.71388888888888891</v>
      </c>
      <c r="D177" s="20" t="s">
        <v>62</v>
      </c>
    </row>
    <row r="178" spans="2:4" x14ac:dyDescent="0.25">
      <c r="B178" s="54">
        <v>41188</v>
      </c>
      <c r="C178" s="48">
        <v>0.71736111111111101</v>
      </c>
      <c r="D178" s="20" t="s">
        <v>62</v>
      </c>
    </row>
    <row r="179" spans="2:4" x14ac:dyDescent="0.25">
      <c r="B179" s="54">
        <v>41188</v>
      </c>
      <c r="C179" s="48">
        <v>0.71736111111111101</v>
      </c>
      <c r="D179" s="20" t="s">
        <v>63</v>
      </c>
    </row>
    <row r="180" spans="2:4" x14ac:dyDescent="0.25">
      <c r="B180" s="54">
        <v>41188</v>
      </c>
      <c r="C180" s="48">
        <v>0.72499999999999998</v>
      </c>
      <c r="D180" s="20" t="s">
        <v>62</v>
      </c>
    </row>
    <row r="181" spans="2:4" x14ac:dyDescent="0.25">
      <c r="B181" s="54">
        <v>41188</v>
      </c>
      <c r="C181" s="48">
        <v>0.72638888888888886</v>
      </c>
      <c r="D181" s="20" t="s">
        <v>63</v>
      </c>
    </row>
    <row r="182" spans="2:4" x14ac:dyDescent="0.25">
      <c r="B182" s="54">
        <v>41188</v>
      </c>
      <c r="C182" s="48">
        <v>0.72916666666666663</v>
      </c>
      <c r="D182" s="20" t="s">
        <v>62</v>
      </c>
    </row>
    <row r="183" spans="2:4" x14ac:dyDescent="0.25">
      <c r="B183" s="54">
        <v>41188</v>
      </c>
      <c r="C183" s="48">
        <v>0.72916666666666663</v>
      </c>
      <c r="D183" s="20" t="s">
        <v>62</v>
      </c>
    </row>
    <row r="184" spans="2:4" x14ac:dyDescent="0.25">
      <c r="B184" s="54">
        <v>41188</v>
      </c>
      <c r="C184" s="48">
        <v>0.73125000000000007</v>
      </c>
      <c r="D184" s="20" t="s">
        <v>62</v>
      </c>
    </row>
    <row r="185" spans="2:4" x14ac:dyDescent="0.25">
      <c r="B185" s="54">
        <v>41188</v>
      </c>
      <c r="C185" s="48">
        <v>0.74097222222222225</v>
      </c>
      <c r="D185" s="20" t="s">
        <v>62</v>
      </c>
    </row>
    <row r="186" spans="2:4" x14ac:dyDescent="0.25">
      <c r="B186" s="54">
        <v>41188</v>
      </c>
      <c r="C186" s="48">
        <v>0.78263888888888899</v>
      </c>
      <c r="D186" s="20" t="s">
        <v>62</v>
      </c>
    </row>
    <row r="187" spans="2:4" x14ac:dyDescent="0.25">
      <c r="B187" s="54">
        <v>41188</v>
      </c>
      <c r="C187" s="48">
        <v>0.80069444444444438</v>
      </c>
      <c r="D187" s="20" t="s">
        <v>63</v>
      </c>
    </row>
    <row r="188" spans="2:4" x14ac:dyDescent="0.25">
      <c r="B188" s="54">
        <v>41188</v>
      </c>
      <c r="C188" s="48">
        <v>0.84513888888888899</v>
      </c>
      <c r="D188" s="20" t="s">
        <v>62</v>
      </c>
    </row>
    <row r="189" spans="2:4" x14ac:dyDescent="0.25">
      <c r="B189" s="54">
        <v>41188</v>
      </c>
      <c r="C189" s="48">
        <v>0.85069444444444453</v>
      </c>
      <c r="D189" s="20" t="s">
        <v>62</v>
      </c>
    </row>
    <row r="190" spans="2:4" x14ac:dyDescent="0.25">
      <c r="B190" s="54">
        <v>41188</v>
      </c>
      <c r="C190" s="48">
        <v>0.8569444444444444</v>
      </c>
      <c r="D190" s="20" t="s">
        <v>62</v>
      </c>
    </row>
    <row r="191" spans="2:4" x14ac:dyDescent="0.25">
      <c r="B191" s="54">
        <v>41188</v>
      </c>
      <c r="C191" s="48">
        <v>0.88750000000000007</v>
      </c>
      <c r="D191" s="20" t="s">
        <v>63</v>
      </c>
    </row>
    <row r="192" spans="2:4" x14ac:dyDescent="0.25">
      <c r="B192" s="54">
        <v>41188</v>
      </c>
      <c r="C192" s="48">
        <v>0.92499999999999993</v>
      </c>
      <c r="D192" s="20" t="s">
        <v>62</v>
      </c>
    </row>
    <row r="193" spans="2:4" x14ac:dyDescent="0.25">
      <c r="B193" s="54">
        <v>41188</v>
      </c>
      <c r="C193" s="48">
        <v>0.93402777777777779</v>
      </c>
      <c r="D193" s="20" t="s">
        <v>62</v>
      </c>
    </row>
    <row r="194" spans="2:4" x14ac:dyDescent="0.25">
      <c r="B194" s="54">
        <v>41188</v>
      </c>
      <c r="C194" s="48">
        <v>0.94791666666666663</v>
      </c>
      <c r="D194" s="20" t="s">
        <v>62</v>
      </c>
    </row>
    <row r="195" spans="2:4" x14ac:dyDescent="0.25">
      <c r="B195" s="54">
        <v>41188</v>
      </c>
      <c r="C195" s="48">
        <v>0.95694444444444438</v>
      </c>
      <c r="D195" s="20" t="s">
        <v>62</v>
      </c>
    </row>
    <row r="196" spans="2:4" x14ac:dyDescent="0.25">
      <c r="B196" s="54">
        <v>41188</v>
      </c>
      <c r="C196" s="48">
        <v>0.99652777777777779</v>
      </c>
      <c r="D196" s="20" t="s">
        <v>62</v>
      </c>
    </row>
    <row r="197" spans="2:4" x14ac:dyDescent="0.25">
      <c r="B197" s="54">
        <v>41189</v>
      </c>
      <c r="C197" s="48">
        <v>0.46180555555555558</v>
      </c>
      <c r="D197" s="20" t="s">
        <v>62</v>
      </c>
    </row>
    <row r="198" spans="2:4" x14ac:dyDescent="0.25">
      <c r="B198" s="54">
        <v>41189</v>
      </c>
      <c r="C198" s="48">
        <v>0.53333333333333333</v>
      </c>
      <c r="D198" s="20" t="s">
        <v>62</v>
      </c>
    </row>
    <row r="199" spans="2:4" x14ac:dyDescent="0.25">
      <c r="B199" s="54">
        <v>41189</v>
      </c>
      <c r="C199" s="48">
        <v>0.54236111111111118</v>
      </c>
      <c r="D199" s="20" t="s">
        <v>62</v>
      </c>
    </row>
    <row r="200" spans="2:4" x14ac:dyDescent="0.25">
      <c r="B200" s="54">
        <v>41189</v>
      </c>
      <c r="C200" s="48">
        <v>0.62361111111111112</v>
      </c>
      <c r="D200" s="20" t="s">
        <v>62</v>
      </c>
    </row>
    <row r="201" spans="2:4" x14ac:dyDescent="0.25">
      <c r="B201" s="54">
        <v>41189</v>
      </c>
      <c r="C201" s="48">
        <v>0.63958333333333328</v>
      </c>
      <c r="D201" s="20" t="s">
        <v>62</v>
      </c>
    </row>
    <row r="202" spans="2:4" x14ac:dyDescent="0.25">
      <c r="B202" s="54">
        <v>41189</v>
      </c>
      <c r="C202" s="48">
        <v>0.6694444444444444</v>
      </c>
      <c r="D202" s="20" t="s">
        <v>62</v>
      </c>
    </row>
    <row r="203" spans="2:4" x14ac:dyDescent="0.25">
      <c r="B203" s="54">
        <v>41189</v>
      </c>
      <c r="C203" s="48">
        <v>0.7006944444444444</v>
      </c>
      <c r="D203" s="20" t="s">
        <v>63</v>
      </c>
    </row>
    <row r="204" spans="2:4" x14ac:dyDescent="0.25">
      <c r="B204" s="54">
        <v>41189</v>
      </c>
      <c r="C204" s="48">
        <v>0.72152777777777777</v>
      </c>
      <c r="D204" s="20" t="s">
        <v>62</v>
      </c>
    </row>
    <row r="205" spans="2:4" x14ac:dyDescent="0.25">
      <c r="B205" s="54">
        <v>41189</v>
      </c>
      <c r="C205" s="48">
        <v>0.74861111111111101</v>
      </c>
      <c r="D205" s="20" t="s">
        <v>62</v>
      </c>
    </row>
    <row r="206" spans="2:4" x14ac:dyDescent="0.25">
      <c r="B206" s="54">
        <v>41189</v>
      </c>
      <c r="C206" s="48">
        <v>0.76111111111111107</v>
      </c>
      <c r="D206" s="20" t="s">
        <v>62</v>
      </c>
    </row>
    <row r="207" spans="2:4" x14ac:dyDescent="0.25">
      <c r="B207" s="54">
        <v>41189</v>
      </c>
      <c r="C207" s="48">
        <v>0.76666666666666661</v>
      </c>
      <c r="D207" s="20" t="s">
        <v>62</v>
      </c>
    </row>
    <row r="208" spans="2:4" x14ac:dyDescent="0.25">
      <c r="B208" s="54">
        <v>41189</v>
      </c>
      <c r="C208" s="48">
        <v>0.79166666666666663</v>
      </c>
      <c r="D208" s="20" t="s">
        <v>62</v>
      </c>
    </row>
    <row r="209" spans="2:4" x14ac:dyDescent="0.25">
      <c r="B209" s="54">
        <v>41189</v>
      </c>
      <c r="C209" s="48">
        <v>0.83124999999999993</v>
      </c>
      <c r="D209" s="20" t="s">
        <v>62</v>
      </c>
    </row>
    <row r="210" spans="2:4" x14ac:dyDescent="0.25">
      <c r="B210" s="54">
        <v>41189</v>
      </c>
      <c r="C210" s="48">
        <v>0.83472222222222225</v>
      </c>
      <c r="D210" s="20" t="s">
        <v>62</v>
      </c>
    </row>
    <row r="211" spans="2:4" x14ac:dyDescent="0.25">
      <c r="B211" s="54">
        <v>41189</v>
      </c>
      <c r="C211" s="48">
        <v>0.8652777777777777</v>
      </c>
      <c r="D211" s="20" t="s">
        <v>62</v>
      </c>
    </row>
    <row r="212" spans="2:4" x14ac:dyDescent="0.25">
      <c r="B212" s="54">
        <v>41189</v>
      </c>
      <c r="C212" s="48">
        <v>0.91249999999999998</v>
      </c>
      <c r="D212" s="20" t="s">
        <v>62</v>
      </c>
    </row>
    <row r="213" spans="2:4" x14ac:dyDescent="0.25">
      <c r="B213" s="54">
        <v>41189</v>
      </c>
      <c r="C213" s="48">
        <v>0.91875000000000007</v>
      </c>
      <c r="D213" s="20" t="s">
        <v>62</v>
      </c>
    </row>
    <row r="214" spans="2:4" x14ac:dyDescent="0.25">
      <c r="B214" s="54">
        <v>41190</v>
      </c>
      <c r="C214" s="48">
        <v>0.47291666666666665</v>
      </c>
      <c r="D214" s="20" t="s">
        <v>62</v>
      </c>
    </row>
    <row r="215" spans="2:4" x14ac:dyDescent="0.25">
      <c r="B215" s="54">
        <v>41190</v>
      </c>
      <c r="C215" s="48">
        <v>0.49652777777777773</v>
      </c>
      <c r="D215" s="20" t="s">
        <v>62</v>
      </c>
    </row>
    <row r="216" spans="2:4" x14ac:dyDescent="0.25">
      <c r="B216" s="54">
        <v>41190</v>
      </c>
      <c r="C216" s="48">
        <v>0.5</v>
      </c>
      <c r="D216" s="20" t="s">
        <v>62</v>
      </c>
    </row>
    <row r="217" spans="2:4" x14ac:dyDescent="0.25">
      <c r="B217" s="54">
        <v>41190</v>
      </c>
      <c r="C217" s="48">
        <v>0.50277777777777777</v>
      </c>
      <c r="D217" s="20" t="s">
        <v>62</v>
      </c>
    </row>
    <row r="218" spans="2:4" x14ac:dyDescent="0.25">
      <c r="B218" s="54">
        <v>41190</v>
      </c>
      <c r="C218" s="48">
        <v>0.51597222222222217</v>
      </c>
      <c r="D218" s="20" t="s">
        <v>62</v>
      </c>
    </row>
    <row r="219" spans="2:4" x14ac:dyDescent="0.25">
      <c r="B219" s="54">
        <v>41190</v>
      </c>
      <c r="C219" s="48">
        <v>0.56597222222222221</v>
      </c>
      <c r="D219" s="20" t="s">
        <v>62</v>
      </c>
    </row>
    <row r="220" spans="2:4" x14ac:dyDescent="0.25">
      <c r="B220" s="54">
        <v>41190</v>
      </c>
      <c r="C220" s="48">
        <v>0.57986111111111105</v>
      </c>
      <c r="D220" s="20" t="s">
        <v>62</v>
      </c>
    </row>
    <row r="221" spans="2:4" x14ac:dyDescent="0.25">
      <c r="B221" s="54">
        <v>41190</v>
      </c>
      <c r="C221" s="48">
        <v>0.59166666666666667</v>
      </c>
      <c r="D221" s="20" t="s">
        <v>62</v>
      </c>
    </row>
    <row r="222" spans="2:4" x14ac:dyDescent="0.25">
      <c r="B222" s="54">
        <v>41190</v>
      </c>
      <c r="C222" s="48">
        <v>0.61319444444444449</v>
      </c>
      <c r="D222" s="20" t="s">
        <v>63</v>
      </c>
    </row>
    <row r="223" spans="2:4" x14ac:dyDescent="0.25">
      <c r="B223" s="54">
        <v>41190</v>
      </c>
      <c r="C223" s="48">
        <v>0.62708333333333333</v>
      </c>
      <c r="D223" s="20" t="s">
        <v>62</v>
      </c>
    </row>
    <row r="224" spans="2:4" x14ac:dyDescent="0.25">
      <c r="B224" s="54">
        <v>41190</v>
      </c>
      <c r="C224" s="48">
        <v>0.64166666666666672</v>
      </c>
      <c r="D224" s="20" t="s">
        <v>62</v>
      </c>
    </row>
    <row r="225" spans="2:4" x14ac:dyDescent="0.25">
      <c r="B225" s="54">
        <v>41190</v>
      </c>
      <c r="C225" s="48">
        <v>0.64374999999999993</v>
      </c>
      <c r="D225" s="20" t="s">
        <v>62</v>
      </c>
    </row>
    <row r="226" spans="2:4" x14ac:dyDescent="0.25">
      <c r="B226" s="54">
        <v>41190</v>
      </c>
      <c r="C226" s="48">
        <v>0.65833333333333333</v>
      </c>
      <c r="D226" s="20" t="s">
        <v>62</v>
      </c>
    </row>
    <row r="227" spans="2:4" x14ac:dyDescent="0.25">
      <c r="B227" s="54">
        <v>41190</v>
      </c>
      <c r="C227" s="48">
        <v>0.67847222222222225</v>
      </c>
      <c r="D227" s="20" t="s">
        <v>62</v>
      </c>
    </row>
    <row r="228" spans="2:4" x14ac:dyDescent="0.25">
      <c r="B228" s="54">
        <v>41190</v>
      </c>
      <c r="C228" s="48">
        <v>0.6875</v>
      </c>
      <c r="D228" s="20" t="s">
        <v>63</v>
      </c>
    </row>
    <row r="229" spans="2:4" x14ac:dyDescent="0.25">
      <c r="B229" s="54">
        <v>41190</v>
      </c>
      <c r="C229" s="48">
        <v>0.73541666666666661</v>
      </c>
      <c r="D229" s="20" t="s">
        <v>62</v>
      </c>
    </row>
    <row r="230" spans="2:4" x14ac:dyDescent="0.25">
      <c r="B230" s="54">
        <v>41190</v>
      </c>
      <c r="C230" s="48">
        <v>0.75555555555555554</v>
      </c>
      <c r="D230" s="20" t="s">
        <v>62</v>
      </c>
    </row>
    <row r="231" spans="2:4" x14ac:dyDescent="0.25">
      <c r="B231" s="54">
        <v>41190</v>
      </c>
      <c r="C231" s="48">
        <v>0.7597222222222223</v>
      </c>
      <c r="D231" s="20" t="s">
        <v>62</v>
      </c>
    </row>
    <row r="232" spans="2:4" x14ac:dyDescent="0.25">
      <c r="B232" s="54">
        <v>41190</v>
      </c>
      <c r="C232" s="48">
        <v>0.76736111111111116</v>
      </c>
      <c r="D232" s="20" t="s">
        <v>62</v>
      </c>
    </row>
    <row r="233" spans="2:4" x14ac:dyDescent="0.25">
      <c r="B233" s="54">
        <v>41190</v>
      </c>
      <c r="C233" s="48">
        <v>0.78194444444444444</v>
      </c>
      <c r="D233" s="20" t="s">
        <v>62</v>
      </c>
    </row>
    <row r="234" spans="2:4" x14ac:dyDescent="0.25">
      <c r="B234" s="54">
        <v>41190</v>
      </c>
      <c r="C234" s="48">
        <v>0.80902777777777779</v>
      </c>
      <c r="D234" s="20" t="s">
        <v>62</v>
      </c>
    </row>
    <row r="235" spans="2:4" x14ac:dyDescent="0.25">
      <c r="B235" s="54">
        <v>41190</v>
      </c>
      <c r="C235" s="48">
        <v>0.85138888888888886</v>
      </c>
      <c r="D235" s="20" t="s">
        <v>62</v>
      </c>
    </row>
    <row r="236" spans="2:4" x14ac:dyDescent="0.25">
      <c r="B236" s="54">
        <v>41190</v>
      </c>
      <c r="C236" s="48">
        <v>0.8569444444444444</v>
      </c>
      <c r="D236" s="20" t="s">
        <v>62</v>
      </c>
    </row>
    <row r="237" spans="2:4" x14ac:dyDescent="0.25">
      <c r="B237" s="54">
        <v>41190</v>
      </c>
      <c r="C237" s="48">
        <v>0.85833333333333339</v>
      </c>
      <c r="D237" s="20" t="s">
        <v>62</v>
      </c>
    </row>
    <row r="238" spans="2:4" x14ac:dyDescent="0.25">
      <c r="B238" s="54">
        <v>41191</v>
      </c>
      <c r="C238" s="48">
        <v>0.44513888888888892</v>
      </c>
      <c r="D238" s="20" t="s">
        <v>62</v>
      </c>
    </row>
    <row r="239" spans="2:4" x14ac:dyDescent="0.25">
      <c r="B239" s="54">
        <v>41191</v>
      </c>
      <c r="C239" s="48">
        <v>0.45</v>
      </c>
      <c r="D239" s="20" t="s">
        <v>62</v>
      </c>
    </row>
    <row r="240" spans="2:4" x14ac:dyDescent="0.25">
      <c r="B240" s="54">
        <v>41191</v>
      </c>
      <c r="C240" s="48">
        <v>0.46319444444444446</v>
      </c>
      <c r="D240" s="20" t="s">
        <v>62</v>
      </c>
    </row>
    <row r="241" spans="2:4" x14ac:dyDescent="0.25">
      <c r="B241" s="54">
        <v>41191</v>
      </c>
      <c r="C241" s="48">
        <v>0.47986111111111113</v>
      </c>
      <c r="D241" s="20" t="s">
        <v>63</v>
      </c>
    </row>
    <row r="242" spans="2:4" x14ac:dyDescent="0.25">
      <c r="B242" s="54">
        <v>41191</v>
      </c>
      <c r="C242" s="48">
        <v>0.49305555555555558</v>
      </c>
      <c r="D242" s="20" t="s">
        <v>62</v>
      </c>
    </row>
    <row r="243" spans="2:4" x14ac:dyDescent="0.25">
      <c r="B243" s="54">
        <v>41191</v>
      </c>
      <c r="C243" s="48">
        <v>0.49861111111111112</v>
      </c>
      <c r="D243" s="20" t="s">
        <v>62</v>
      </c>
    </row>
    <row r="244" spans="2:4" x14ac:dyDescent="0.25">
      <c r="B244" s="54">
        <v>41191</v>
      </c>
      <c r="C244" s="48">
        <v>0.52708333333333335</v>
      </c>
      <c r="D244" s="20" t="s">
        <v>62</v>
      </c>
    </row>
    <row r="245" spans="2:4" x14ac:dyDescent="0.25">
      <c r="B245" s="54">
        <v>41191</v>
      </c>
      <c r="C245" s="48">
        <v>0.52986111111111112</v>
      </c>
      <c r="D245" s="20" t="s">
        <v>62</v>
      </c>
    </row>
    <row r="246" spans="2:4" x14ac:dyDescent="0.25">
      <c r="B246" s="54">
        <v>41191</v>
      </c>
      <c r="C246" s="48">
        <v>0.57916666666666672</v>
      </c>
      <c r="D246" s="20" t="s">
        <v>63</v>
      </c>
    </row>
    <row r="247" spans="2:4" x14ac:dyDescent="0.25">
      <c r="B247" s="54">
        <v>41191</v>
      </c>
      <c r="C247" s="48">
        <v>0.59652777777777777</v>
      </c>
      <c r="D247" s="20" t="s">
        <v>62</v>
      </c>
    </row>
    <row r="248" spans="2:4" x14ac:dyDescent="0.25">
      <c r="B248" s="54">
        <v>41191</v>
      </c>
      <c r="C248" s="48">
        <v>0.6118055555555556</v>
      </c>
      <c r="D248" s="20" t="s">
        <v>62</v>
      </c>
    </row>
    <row r="249" spans="2:4" x14ac:dyDescent="0.25">
      <c r="B249" s="54">
        <v>41191</v>
      </c>
      <c r="C249" s="48">
        <v>0.62361111111111112</v>
      </c>
      <c r="D249" s="20" t="s">
        <v>62</v>
      </c>
    </row>
    <row r="250" spans="2:4" x14ac:dyDescent="0.25">
      <c r="B250" s="54">
        <v>41191</v>
      </c>
      <c r="C250" s="48">
        <v>0.63263888888888886</v>
      </c>
      <c r="D250" s="20" t="s">
        <v>62</v>
      </c>
    </row>
    <row r="251" spans="2:4" x14ac:dyDescent="0.25">
      <c r="B251" s="54">
        <v>41191</v>
      </c>
      <c r="C251" s="48">
        <v>0.6743055555555556</v>
      </c>
      <c r="D251" s="20" t="s">
        <v>63</v>
      </c>
    </row>
    <row r="252" spans="2:4" x14ac:dyDescent="0.25">
      <c r="B252" s="54">
        <v>41191</v>
      </c>
      <c r="C252" s="48">
        <v>0.68194444444444446</v>
      </c>
      <c r="D252" s="20" t="s">
        <v>62</v>
      </c>
    </row>
    <row r="253" spans="2:4" x14ac:dyDescent="0.25">
      <c r="B253" s="54">
        <v>41191</v>
      </c>
      <c r="C253" s="48">
        <v>0.70416666666666661</v>
      </c>
      <c r="D253" s="20" t="s">
        <v>62</v>
      </c>
    </row>
    <row r="254" spans="2:4" x14ac:dyDescent="0.25">
      <c r="B254" s="54">
        <v>41191</v>
      </c>
      <c r="C254" s="48">
        <v>0.71666666666666667</v>
      </c>
      <c r="D254" s="20" t="s">
        <v>63</v>
      </c>
    </row>
    <row r="255" spans="2:4" x14ac:dyDescent="0.25">
      <c r="B255" s="54">
        <v>41191</v>
      </c>
      <c r="C255" s="48">
        <v>0.71666666666666667</v>
      </c>
      <c r="D255" s="20" t="s">
        <v>63</v>
      </c>
    </row>
    <row r="256" spans="2:4" x14ac:dyDescent="0.25">
      <c r="B256" s="54">
        <v>41191</v>
      </c>
      <c r="C256" s="48">
        <v>0.7895833333333333</v>
      </c>
      <c r="D256" s="20" t="s">
        <v>62</v>
      </c>
    </row>
    <row r="257" spans="2:4" x14ac:dyDescent="0.25">
      <c r="B257" s="54">
        <v>41191</v>
      </c>
      <c r="C257" s="48">
        <v>0.79652777777777783</v>
      </c>
      <c r="D257" s="20" t="s">
        <v>62</v>
      </c>
    </row>
    <row r="258" spans="2:4" x14ac:dyDescent="0.25">
      <c r="B258" s="54">
        <v>41191</v>
      </c>
      <c r="C258" s="48">
        <v>0.86944444444444446</v>
      </c>
      <c r="D258" s="20" t="s">
        <v>62</v>
      </c>
    </row>
    <row r="259" spans="2:4" x14ac:dyDescent="0.25">
      <c r="B259" s="54">
        <v>41191</v>
      </c>
      <c r="C259" s="48">
        <v>0.87916666666666676</v>
      </c>
      <c r="D259" s="20" t="s">
        <v>63</v>
      </c>
    </row>
    <row r="260" spans="2:4" x14ac:dyDescent="0.25">
      <c r="B260" s="54">
        <v>41191</v>
      </c>
      <c r="C260" s="48">
        <v>0.89861111111111114</v>
      </c>
      <c r="D260" s="20" t="s">
        <v>62</v>
      </c>
    </row>
    <row r="261" spans="2:4" x14ac:dyDescent="0.25">
      <c r="B261" s="54">
        <v>41191</v>
      </c>
      <c r="C261" s="48">
        <v>0.90138888888888891</v>
      </c>
      <c r="D261" s="20" t="s">
        <v>62</v>
      </c>
    </row>
    <row r="262" spans="2:4" x14ac:dyDescent="0.25">
      <c r="B262" s="54">
        <v>41191</v>
      </c>
      <c r="C262" s="48">
        <v>0.90416666666666667</v>
      </c>
      <c r="D262" s="20" t="s">
        <v>62</v>
      </c>
    </row>
    <row r="263" spans="2:4" x14ac:dyDescent="0.25">
      <c r="B263" s="54">
        <v>41191</v>
      </c>
      <c r="C263" s="48">
        <v>0.91527777777777775</v>
      </c>
      <c r="D263" s="20" t="s">
        <v>62</v>
      </c>
    </row>
    <row r="264" spans="2:4" x14ac:dyDescent="0.25">
      <c r="B264" s="54">
        <v>41191</v>
      </c>
      <c r="C264" s="48">
        <v>0.94236111111111109</v>
      </c>
      <c r="D264" s="20" t="s">
        <v>62</v>
      </c>
    </row>
    <row r="265" spans="2:4" x14ac:dyDescent="0.25">
      <c r="B265" s="54">
        <v>41191</v>
      </c>
      <c r="C265" s="48">
        <v>0.95833333333333337</v>
      </c>
      <c r="D265" s="20" t="s">
        <v>63</v>
      </c>
    </row>
    <row r="266" spans="2:4" x14ac:dyDescent="0.25">
      <c r="B266" s="54">
        <v>41191</v>
      </c>
      <c r="C266" s="48">
        <v>0.96111111111111114</v>
      </c>
      <c r="D266" s="20" t="s">
        <v>63</v>
      </c>
    </row>
    <row r="267" spans="2:4" x14ac:dyDescent="0.25">
      <c r="B267" s="54">
        <v>41191</v>
      </c>
      <c r="C267" s="48">
        <v>0.98888888888888893</v>
      </c>
      <c r="D267" s="20" t="s">
        <v>62</v>
      </c>
    </row>
    <row r="268" spans="2:4" x14ac:dyDescent="0.25">
      <c r="B268" s="54">
        <v>41191</v>
      </c>
      <c r="C268" s="48">
        <v>0.9902777777777777</v>
      </c>
      <c r="D268" s="20" t="s">
        <v>62</v>
      </c>
    </row>
    <row r="269" spans="2:4" x14ac:dyDescent="0.25">
      <c r="B269" s="54">
        <v>41191</v>
      </c>
      <c r="C269" s="48">
        <v>1.0131944444444445</v>
      </c>
      <c r="D269" s="20" t="s">
        <v>62</v>
      </c>
    </row>
    <row r="270" spans="2:4" x14ac:dyDescent="0.25">
      <c r="B270" s="54">
        <v>41191</v>
      </c>
      <c r="C270" s="48">
        <v>1.0340277777777778</v>
      </c>
      <c r="D270" s="20" t="s">
        <v>62</v>
      </c>
    </row>
    <row r="271" spans="2:4" x14ac:dyDescent="0.25">
      <c r="B271" s="54">
        <v>41191</v>
      </c>
      <c r="C271" s="48">
        <v>1.0638888888888889</v>
      </c>
      <c r="D271" s="20" t="s">
        <v>62</v>
      </c>
    </row>
    <row r="272" spans="2:4" x14ac:dyDescent="0.25">
      <c r="B272" s="54">
        <v>41191</v>
      </c>
      <c r="C272" s="48">
        <v>1.0694444444444444</v>
      </c>
      <c r="D272" s="20" t="s">
        <v>63</v>
      </c>
    </row>
    <row r="273" spans="2:4" x14ac:dyDescent="0.25">
      <c r="B273" s="54">
        <v>41191</v>
      </c>
      <c r="C273" s="48">
        <v>1.08125</v>
      </c>
      <c r="D273" s="20" t="s">
        <v>62</v>
      </c>
    </row>
    <row r="274" spans="2:4" x14ac:dyDescent="0.25">
      <c r="B274" s="54">
        <v>41191</v>
      </c>
      <c r="C274" s="48">
        <v>1.1083333333333334</v>
      </c>
      <c r="D274" s="20" t="s">
        <v>62</v>
      </c>
    </row>
    <row r="275" spans="2:4" x14ac:dyDescent="0.25">
      <c r="B275" s="54">
        <v>41191</v>
      </c>
      <c r="C275" s="48">
        <v>1.1277777777777778</v>
      </c>
      <c r="D275" s="20" t="s">
        <v>62</v>
      </c>
    </row>
    <row r="276" spans="2:4" x14ac:dyDescent="0.25">
      <c r="B276" s="54">
        <v>41191</v>
      </c>
      <c r="C276" s="48">
        <v>1.1708333333333334</v>
      </c>
      <c r="D276" s="20" t="s">
        <v>62</v>
      </c>
    </row>
    <row r="277" spans="2:4" x14ac:dyDescent="0.25">
      <c r="B277" s="54">
        <v>41191</v>
      </c>
      <c r="C277" s="48">
        <v>1.1986111111111111</v>
      </c>
      <c r="D277" s="20" t="s">
        <v>63</v>
      </c>
    </row>
    <row r="278" spans="2:4" x14ac:dyDescent="0.25">
      <c r="B278" s="54">
        <v>41191</v>
      </c>
      <c r="C278" s="48">
        <v>1.2375</v>
      </c>
      <c r="D278" s="20" t="s">
        <v>62</v>
      </c>
    </row>
    <row r="279" spans="2:4" x14ac:dyDescent="0.25">
      <c r="B279" s="54">
        <v>41191</v>
      </c>
      <c r="C279" s="48">
        <v>1.2819444444444443</v>
      </c>
      <c r="D279" s="20" t="s">
        <v>62</v>
      </c>
    </row>
    <row r="280" spans="2:4" x14ac:dyDescent="0.25">
      <c r="B280" s="54">
        <v>41192</v>
      </c>
      <c r="C280" s="48">
        <v>0.28055555555555556</v>
      </c>
      <c r="D280" s="20" t="s">
        <v>62</v>
      </c>
    </row>
    <row r="281" spans="2:4" x14ac:dyDescent="0.25">
      <c r="B281" s="54">
        <v>41192</v>
      </c>
      <c r="C281" s="48">
        <v>0.31180555555555556</v>
      </c>
      <c r="D281" s="20" t="s">
        <v>62</v>
      </c>
    </row>
    <row r="282" spans="2:4" x14ac:dyDescent="0.25">
      <c r="B282" s="54">
        <v>41192</v>
      </c>
      <c r="C282" s="48">
        <v>0.3527777777777778</v>
      </c>
      <c r="D282" s="20" t="s">
        <v>62</v>
      </c>
    </row>
    <row r="283" spans="2:4" x14ac:dyDescent="0.25">
      <c r="B283" s="54">
        <v>41192</v>
      </c>
      <c r="C283" s="48">
        <v>0.37291666666666662</v>
      </c>
      <c r="D283" s="20" t="s">
        <v>62</v>
      </c>
    </row>
    <row r="284" spans="2:4" x14ac:dyDescent="0.25">
      <c r="B284" s="54">
        <v>41192</v>
      </c>
      <c r="C284" s="48">
        <v>0.3833333333333333</v>
      </c>
      <c r="D284" s="20" t="s">
        <v>62</v>
      </c>
    </row>
    <row r="285" spans="2:4" x14ac:dyDescent="0.25">
      <c r="B285" s="54">
        <v>41192</v>
      </c>
      <c r="C285" s="48">
        <v>0.42569444444444443</v>
      </c>
      <c r="D285" s="20" t="s">
        <v>62</v>
      </c>
    </row>
    <row r="286" spans="2:4" x14ac:dyDescent="0.25">
      <c r="B286" s="54">
        <v>41192</v>
      </c>
      <c r="C286" s="48">
        <v>0.43402777777777773</v>
      </c>
      <c r="D286" s="20" t="s">
        <v>62</v>
      </c>
    </row>
    <row r="287" spans="2:4" x14ac:dyDescent="0.25">
      <c r="B287" s="54">
        <v>41192</v>
      </c>
      <c r="C287" s="48">
        <v>0.45902777777777781</v>
      </c>
      <c r="D287" s="20" t="s">
        <v>62</v>
      </c>
    </row>
    <row r="288" spans="2:4" x14ac:dyDescent="0.25">
      <c r="B288" s="54">
        <v>41192</v>
      </c>
      <c r="C288" s="48">
        <v>0.4604166666666667</v>
      </c>
      <c r="D288" s="20" t="s">
        <v>62</v>
      </c>
    </row>
    <row r="289" spans="2:4" x14ac:dyDescent="0.25">
      <c r="B289" s="54">
        <v>41192</v>
      </c>
      <c r="C289" s="48">
        <v>0.47291666666666665</v>
      </c>
      <c r="D289" s="20" t="s">
        <v>62</v>
      </c>
    </row>
    <row r="290" spans="2:4" x14ac:dyDescent="0.25">
      <c r="B290" s="54">
        <v>41192</v>
      </c>
      <c r="C290" s="48">
        <v>0.53194444444444444</v>
      </c>
      <c r="D290" s="20" t="s">
        <v>62</v>
      </c>
    </row>
    <row r="291" spans="2:4" x14ac:dyDescent="0.25">
      <c r="B291" s="54">
        <v>41192</v>
      </c>
      <c r="C291" s="48">
        <v>0.55833333333333335</v>
      </c>
      <c r="D291" s="20" t="s">
        <v>62</v>
      </c>
    </row>
    <row r="292" spans="2:4" x14ac:dyDescent="0.25">
      <c r="B292" s="54">
        <v>41192</v>
      </c>
      <c r="C292" s="48">
        <v>0.55902777777777779</v>
      </c>
      <c r="D292" s="20" t="s">
        <v>62</v>
      </c>
    </row>
    <row r="293" spans="2:4" x14ac:dyDescent="0.25">
      <c r="B293" s="54">
        <v>41192</v>
      </c>
      <c r="C293" s="48">
        <v>0.58194444444444449</v>
      </c>
      <c r="D293" s="20" t="s">
        <v>63</v>
      </c>
    </row>
    <row r="294" spans="2:4" x14ac:dyDescent="0.25">
      <c r="B294" s="54">
        <v>41192</v>
      </c>
      <c r="C294" s="48">
        <v>0.58680555555555558</v>
      </c>
      <c r="D294" s="20" t="s">
        <v>62</v>
      </c>
    </row>
    <row r="295" spans="2:4" x14ac:dyDescent="0.25">
      <c r="B295" s="54">
        <v>41192</v>
      </c>
      <c r="C295" s="48">
        <v>0.6381944444444444</v>
      </c>
      <c r="D295" s="20" t="s">
        <v>62</v>
      </c>
    </row>
    <row r="296" spans="2:4" x14ac:dyDescent="0.25">
      <c r="B296" s="54">
        <v>41192</v>
      </c>
      <c r="C296" s="48">
        <v>0.64652777777777781</v>
      </c>
      <c r="D296" s="20" t="s">
        <v>62</v>
      </c>
    </row>
    <row r="297" spans="2:4" x14ac:dyDescent="0.25">
      <c r="B297" s="54">
        <v>41192</v>
      </c>
      <c r="C297" s="48">
        <v>0.6479166666666667</v>
      </c>
      <c r="D297" s="20" t="s">
        <v>63</v>
      </c>
    </row>
    <row r="298" spans="2:4" x14ac:dyDescent="0.25">
      <c r="B298" s="54">
        <v>41192</v>
      </c>
      <c r="C298" s="48">
        <v>0.65</v>
      </c>
      <c r="D298" s="20" t="s">
        <v>62</v>
      </c>
    </row>
    <row r="299" spans="2:4" x14ac:dyDescent="0.25">
      <c r="B299" s="54">
        <v>41192</v>
      </c>
      <c r="C299" s="48">
        <v>0.65555555555555556</v>
      </c>
      <c r="D299" s="20" t="s">
        <v>63</v>
      </c>
    </row>
    <row r="300" spans="2:4" x14ac:dyDescent="0.25">
      <c r="B300" s="54">
        <v>41192</v>
      </c>
      <c r="C300" s="48">
        <v>0.65763888888888888</v>
      </c>
      <c r="D300" s="20" t="s">
        <v>62</v>
      </c>
    </row>
    <row r="301" spans="2:4" x14ac:dyDescent="0.25">
      <c r="B301" s="54">
        <v>41192</v>
      </c>
      <c r="C301" s="48">
        <v>0.65833333333333333</v>
      </c>
      <c r="D301" s="20" t="s">
        <v>62</v>
      </c>
    </row>
    <row r="302" spans="2:4" x14ac:dyDescent="0.25">
      <c r="B302" s="54">
        <v>41192</v>
      </c>
      <c r="C302" s="48">
        <v>0.68194444444444446</v>
      </c>
      <c r="D302" s="20" t="s">
        <v>62</v>
      </c>
    </row>
    <row r="303" spans="2:4" x14ac:dyDescent="0.25">
      <c r="B303" s="54">
        <v>41192</v>
      </c>
      <c r="C303" s="48">
        <v>0.69930555555555562</v>
      </c>
      <c r="D303" s="20" t="s">
        <v>62</v>
      </c>
    </row>
    <row r="304" spans="2:4" x14ac:dyDescent="0.25">
      <c r="B304" s="54">
        <v>41192</v>
      </c>
      <c r="C304" s="48">
        <v>0.70416666666666661</v>
      </c>
      <c r="D304" s="20" t="s">
        <v>63</v>
      </c>
    </row>
    <row r="305" spans="2:4" x14ac:dyDescent="0.25">
      <c r="B305" s="54">
        <v>41193</v>
      </c>
      <c r="C305" s="48">
        <v>0.27569444444444446</v>
      </c>
      <c r="D305" s="20" t="s">
        <v>62</v>
      </c>
    </row>
    <row r="306" spans="2:4" x14ac:dyDescent="0.25">
      <c r="B306" s="54">
        <v>41193</v>
      </c>
      <c r="C306" s="48">
        <v>0.30555555555555552</v>
      </c>
      <c r="D306" s="20" t="s">
        <v>62</v>
      </c>
    </row>
    <row r="307" spans="2:4" x14ac:dyDescent="0.25">
      <c r="B307" s="54">
        <v>41193</v>
      </c>
      <c r="C307" s="48">
        <v>0.3263888888888889</v>
      </c>
      <c r="D307" s="20" t="s">
        <v>62</v>
      </c>
    </row>
    <row r="308" spans="2:4" x14ac:dyDescent="0.25">
      <c r="B308" s="54">
        <v>41193</v>
      </c>
      <c r="C308" s="48">
        <v>0.33333333333333331</v>
      </c>
      <c r="D308" s="20" t="s">
        <v>62</v>
      </c>
    </row>
    <row r="309" spans="2:4" x14ac:dyDescent="0.25">
      <c r="B309" s="54">
        <v>41193</v>
      </c>
      <c r="C309" s="48">
        <v>0.3347222222222222</v>
      </c>
      <c r="D309" s="20" t="s">
        <v>62</v>
      </c>
    </row>
    <row r="310" spans="2:4" x14ac:dyDescent="0.25">
      <c r="B310" s="54">
        <v>41193</v>
      </c>
      <c r="C310" s="48">
        <v>0.33611111111111108</v>
      </c>
      <c r="D310" s="20" t="s">
        <v>62</v>
      </c>
    </row>
    <row r="311" spans="2:4" x14ac:dyDescent="0.25">
      <c r="B311" s="54">
        <v>41193</v>
      </c>
      <c r="C311" s="48">
        <v>0.34236111111111112</v>
      </c>
      <c r="D311" s="20" t="s">
        <v>62</v>
      </c>
    </row>
    <row r="312" spans="2:4" x14ac:dyDescent="0.25">
      <c r="B312" s="54">
        <v>41193</v>
      </c>
      <c r="C312" s="48">
        <v>0.35486111111111113</v>
      </c>
      <c r="D312" s="20" t="s">
        <v>62</v>
      </c>
    </row>
    <row r="313" spans="2:4" x14ac:dyDescent="0.25">
      <c r="B313" s="54">
        <v>41193</v>
      </c>
      <c r="C313" s="48">
        <v>0.35555555555555557</v>
      </c>
      <c r="D313" s="20" t="s">
        <v>62</v>
      </c>
    </row>
    <row r="314" spans="2:4" x14ac:dyDescent="0.25">
      <c r="B314" s="54">
        <v>41193</v>
      </c>
      <c r="C314" s="48">
        <v>0.38541666666666669</v>
      </c>
      <c r="D314" s="20" t="s">
        <v>62</v>
      </c>
    </row>
    <row r="315" spans="2:4" x14ac:dyDescent="0.25">
      <c r="B315" s="54">
        <v>41193</v>
      </c>
      <c r="C315" s="48">
        <v>0.41319444444444442</v>
      </c>
      <c r="D315" s="20" t="s">
        <v>62</v>
      </c>
    </row>
    <row r="316" spans="2:4" x14ac:dyDescent="0.25">
      <c r="B316" s="54">
        <v>41193</v>
      </c>
      <c r="C316" s="48">
        <v>0.41666666666666669</v>
      </c>
      <c r="D316" s="20" t="s">
        <v>62</v>
      </c>
    </row>
    <row r="317" spans="2:4" x14ac:dyDescent="0.25">
      <c r="B317" s="54">
        <v>41193</v>
      </c>
      <c r="C317" s="48">
        <v>0.4458333333333333</v>
      </c>
      <c r="D317" s="20" t="s">
        <v>62</v>
      </c>
    </row>
    <row r="318" spans="2:4" x14ac:dyDescent="0.25">
      <c r="B318" s="54">
        <v>41193</v>
      </c>
      <c r="C318" s="48">
        <v>0.44861111111111113</v>
      </c>
      <c r="D318" s="20" t="s">
        <v>62</v>
      </c>
    </row>
    <row r="319" spans="2:4" x14ac:dyDescent="0.25">
      <c r="B319" s="54">
        <v>41193</v>
      </c>
      <c r="C319" s="48">
        <v>0.45902777777777781</v>
      </c>
      <c r="D319" s="20" t="s">
        <v>62</v>
      </c>
    </row>
    <row r="320" spans="2:4" x14ac:dyDescent="0.25">
      <c r="B320" s="54">
        <v>41193</v>
      </c>
      <c r="C320" s="48">
        <v>0.45902777777777781</v>
      </c>
      <c r="D320" s="20" t="s">
        <v>62</v>
      </c>
    </row>
    <row r="321" spans="2:4" x14ac:dyDescent="0.25">
      <c r="B321" s="54">
        <v>41193</v>
      </c>
      <c r="C321" s="48">
        <v>0.46388888888888885</v>
      </c>
      <c r="D321" s="20" t="s">
        <v>62</v>
      </c>
    </row>
    <row r="322" spans="2:4" x14ac:dyDescent="0.25">
      <c r="B322" s="54">
        <v>41193</v>
      </c>
      <c r="C322" s="48">
        <v>0.53472222222222221</v>
      </c>
      <c r="D322" s="20" t="s">
        <v>62</v>
      </c>
    </row>
    <row r="323" spans="2:4" x14ac:dyDescent="0.25">
      <c r="B323" s="54">
        <v>41193</v>
      </c>
      <c r="C323" s="48">
        <v>0.54999999999999993</v>
      </c>
      <c r="D323" s="20" t="s">
        <v>62</v>
      </c>
    </row>
    <row r="324" spans="2:4" x14ac:dyDescent="0.25">
      <c r="B324" s="54">
        <v>41193</v>
      </c>
      <c r="C324" s="48">
        <v>0.57430555555555551</v>
      </c>
      <c r="D324" s="20" t="s">
        <v>62</v>
      </c>
    </row>
    <row r="325" spans="2:4" x14ac:dyDescent="0.25">
      <c r="B325" s="54">
        <v>41193</v>
      </c>
      <c r="C325" s="48">
        <v>0.59097222222222223</v>
      </c>
      <c r="D325" s="20" t="s">
        <v>63</v>
      </c>
    </row>
    <row r="326" spans="2:4" x14ac:dyDescent="0.25">
      <c r="B326" s="54">
        <v>41193</v>
      </c>
      <c r="C326" s="48">
        <v>0.64027777777777783</v>
      </c>
      <c r="D326" s="20" t="s">
        <v>62</v>
      </c>
    </row>
    <row r="327" spans="2:4" x14ac:dyDescent="0.25">
      <c r="B327" s="54">
        <v>41193</v>
      </c>
      <c r="C327" s="48">
        <v>0.65833333333333333</v>
      </c>
      <c r="D327" s="20" t="s">
        <v>63</v>
      </c>
    </row>
    <row r="328" spans="2:4" x14ac:dyDescent="0.25">
      <c r="B328" s="54">
        <v>41193</v>
      </c>
      <c r="C328" s="48">
        <v>0.66527777777777775</v>
      </c>
      <c r="D328" s="20" t="s">
        <v>63</v>
      </c>
    </row>
    <row r="329" spans="2:4" x14ac:dyDescent="0.25">
      <c r="B329" s="54">
        <v>41193</v>
      </c>
      <c r="C329" s="48">
        <v>0.67569444444444438</v>
      </c>
      <c r="D329" s="20" t="s">
        <v>63</v>
      </c>
    </row>
    <row r="330" spans="2:4" x14ac:dyDescent="0.25">
      <c r="B330" s="54">
        <v>41193</v>
      </c>
      <c r="C330" s="48">
        <v>0.67986111111111114</v>
      </c>
      <c r="D330" s="20" t="s">
        <v>63</v>
      </c>
    </row>
    <row r="331" spans="2:4" x14ac:dyDescent="0.25">
      <c r="B331" s="54">
        <v>41193</v>
      </c>
      <c r="C331" s="48">
        <v>0.7055555555555556</v>
      </c>
      <c r="D331" s="20" t="s">
        <v>63</v>
      </c>
    </row>
    <row r="332" spans="2:4" x14ac:dyDescent="0.25">
      <c r="B332" s="54">
        <v>41193</v>
      </c>
      <c r="C332" s="48">
        <v>0.72638888888888886</v>
      </c>
      <c r="D332" s="20" t="s">
        <v>63</v>
      </c>
    </row>
    <row r="333" spans="2:4" x14ac:dyDescent="0.25">
      <c r="B333" s="54">
        <v>41194</v>
      </c>
      <c r="C333" s="48">
        <v>0.29583333333333334</v>
      </c>
      <c r="D333" s="20" t="s">
        <v>62</v>
      </c>
    </row>
    <row r="334" spans="2:4" x14ac:dyDescent="0.25">
      <c r="B334" s="54">
        <v>41194</v>
      </c>
      <c r="C334" s="48">
        <v>0.30555555555555552</v>
      </c>
      <c r="D334" s="20" t="s">
        <v>62</v>
      </c>
    </row>
    <row r="335" spans="2:4" x14ac:dyDescent="0.25">
      <c r="B335" s="54">
        <v>41194</v>
      </c>
      <c r="C335" s="48">
        <v>0.34027777777777773</v>
      </c>
      <c r="D335" s="20" t="s">
        <v>62</v>
      </c>
    </row>
    <row r="336" spans="2:4" x14ac:dyDescent="0.25">
      <c r="B336" s="54">
        <v>41194</v>
      </c>
      <c r="C336" s="48">
        <v>0.38125000000000003</v>
      </c>
      <c r="D336" s="20" t="s">
        <v>62</v>
      </c>
    </row>
    <row r="337" spans="2:4" x14ac:dyDescent="0.25">
      <c r="B337" s="54">
        <v>41194</v>
      </c>
      <c r="C337" s="48">
        <v>0.40138888888888885</v>
      </c>
      <c r="D337" s="20" t="s">
        <v>62</v>
      </c>
    </row>
    <row r="338" spans="2:4" x14ac:dyDescent="0.25">
      <c r="B338" s="54">
        <v>41194</v>
      </c>
      <c r="C338" s="48">
        <v>0.41041666666666665</v>
      </c>
      <c r="D338" s="20" t="s">
        <v>62</v>
      </c>
    </row>
    <row r="339" spans="2:4" x14ac:dyDescent="0.25">
      <c r="B339" s="54">
        <v>41194</v>
      </c>
      <c r="C339" s="48">
        <v>0.41805555555555557</v>
      </c>
      <c r="D339" s="20" t="s">
        <v>62</v>
      </c>
    </row>
    <row r="340" spans="2:4" x14ac:dyDescent="0.25">
      <c r="B340" s="54">
        <v>41194</v>
      </c>
      <c r="C340" s="48">
        <v>0.4597222222222222</v>
      </c>
      <c r="D340" s="20" t="s">
        <v>62</v>
      </c>
    </row>
    <row r="341" spans="2:4" x14ac:dyDescent="0.25">
      <c r="B341" s="54">
        <v>41194</v>
      </c>
      <c r="C341" s="48">
        <v>0.48402777777777778</v>
      </c>
      <c r="D341" s="20" t="s">
        <v>62</v>
      </c>
    </row>
    <row r="342" spans="2:4" x14ac:dyDescent="0.25">
      <c r="B342" s="54">
        <v>41194</v>
      </c>
      <c r="C342" s="48">
        <v>0.53749999999999998</v>
      </c>
      <c r="D342" s="20" t="s">
        <v>62</v>
      </c>
    </row>
    <row r="343" spans="2:4" x14ac:dyDescent="0.25">
      <c r="B343" s="54">
        <v>41194</v>
      </c>
      <c r="C343" s="48">
        <v>0.5493055555555556</v>
      </c>
      <c r="D343" s="20" t="s">
        <v>62</v>
      </c>
    </row>
    <row r="344" spans="2:4" x14ac:dyDescent="0.25">
      <c r="B344" s="54">
        <v>41194</v>
      </c>
      <c r="C344" s="48">
        <v>0.55625000000000002</v>
      </c>
      <c r="D344" s="20" t="s">
        <v>62</v>
      </c>
    </row>
    <row r="345" spans="2:4" x14ac:dyDescent="0.25">
      <c r="B345" s="54">
        <v>41194</v>
      </c>
      <c r="C345" s="48">
        <v>0.55694444444444446</v>
      </c>
      <c r="D345" s="20" t="s">
        <v>62</v>
      </c>
    </row>
    <row r="346" spans="2:4" x14ac:dyDescent="0.25">
      <c r="B346" s="54">
        <v>41194</v>
      </c>
      <c r="C346" s="48">
        <v>0.57430555555555551</v>
      </c>
      <c r="D346" s="20" t="s">
        <v>62</v>
      </c>
    </row>
    <row r="347" spans="2:4" x14ac:dyDescent="0.25">
      <c r="B347" s="54">
        <v>41194</v>
      </c>
      <c r="C347" s="48">
        <v>0.58819444444444446</v>
      </c>
      <c r="D347" s="20" t="s">
        <v>62</v>
      </c>
    </row>
    <row r="348" spans="2:4" x14ac:dyDescent="0.25">
      <c r="B348" s="54">
        <v>41194</v>
      </c>
      <c r="C348" s="48">
        <v>0.59513888888888888</v>
      </c>
      <c r="D348" s="20" t="s">
        <v>62</v>
      </c>
    </row>
    <row r="349" spans="2:4" x14ac:dyDescent="0.25">
      <c r="B349" s="54">
        <v>41194</v>
      </c>
      <c r="C349" s="48">
        <v>0.625</v>
      </c>
      <c r="D349" s="20" t="s">
        <v>62</v>
      </c>
    </row>
    <row r="350" spans="2:4" x14ac:dyDescent="0.25">
      <c r="B350" s="54">
        <v>41194</v>
      </c>
      <c r="C350" s="48">
        <v>0.67152777777777783</v>
      </c>
      <c r="D350" s="20" t="s">
        <v>62</v>
      </c>
    </row>
    <row r="351" spans="2:4" x14ac:dyDescent="0.25">
      <c r="B351" s="54">
        <v>41194</v>
      </c>
      <c r="C351" s="48">
        <v>0.6791666666666667</v>
      </c>
      <c r="D351" s="20" t="s">
        <v>62</v>
      </c>
    </row>
    <row r="352" spans="2:4" x14ac:dyDescent="0.25">
      <c r="B352" s="54">
        <v>41194</v>
      </c>
      <c r="C352" s="48">
        <v>0.68125000000000002</v>
      </c>
      <c r="D352" s="20" t="s">
        <v>63</v>
      </c>
    </row>
    <row r="353" spans="2:4" x14ac:dyDescent="0.25">
      <c r="B353" s="54">
        <v>41194</v>
      </c>
      <c r="C353" s="48">
        <v>0.73333333333333339</v>
      </c>
      <c r="D353" s="20" t="s">
        <v>62</v>
      </c>
    </row>
    <row r="354" spans="2:4" x14ac:dyDescent="0.25">
      <c r="B354" s="54">
        <v>41194</v>
      </c>
      <c r="C354" s="48">
        <v>0.77708333333333324</v>
      </c>
      <c r="D354" s="20" t="s">
        <v>62</v>
      </c>
    </row>
    <row r="355" spans="2:4" x14ac:dyDescent="0.25">
      <c r="B355" s="54">
        <v>41194</v>
      </c>
      <c r="C355" s="48">
        <v>0.79375000000000007</v>
      </c>
      <c r="D355" s="20" t="s">
        <v>62</v>
      </c>
    </row>
    <row r="356" spans="2:4" x14ac:dyDescent="0.25">
      <c r="B356" s="54">
        <v>41194</v>
      </c>
      <c r="C356" s="48">
        <v>0.83888888888888891</v>
      </c>
      <c r="D356" s="20" t="s">
        <v>62</v>
      </c>
    </row>
    <row r="357" spans="2:4" x14ac:dyDescent="0.25">
      <c r="B357" s="54">
        <v>41194</v>
      </c>
      <c r="C357" s="48">
        <v>0.91527777777777775</v>
      </c>
      <c r="D357" s="20" t="s">
        <v>62</v>
      </c>
    </row>
    <row r="358" spans="2:4" x14ac:dyDescent="0.25">
      <c r="B358" s="54">
        <v>41194</v>
      </c>
      <c r="C358" s="48">
        <v>0.92361111111111116</v>
      </c>
      <c r="D358" s="20" t="s">
        <v>62</v>
      </c>
    </row>
    <row r="359" spans="2:4" x14ac:dyDescent="0.25">
      <c r="B359" s="54">
        <v>41194</v>
      </c>
      <c r="C359" s="48">
        <v>0.9277777777777777</v>
      </c>
      <c r="D359" s="20" t="s">
        <v>62</v>
      </c>
    </row>
    <row r="360" spans="2:4" x14ac:dyDescent="0.25">
      <c r="B360" s="54">
        <v>41194</v>
      </c>
      <c r="C360" s="48">
        <v>0.93125000000000002</v>
      </c>
      <c r="D360" s="20" t="s">
        <v>63</v>
      </c>
    </row>
    <row r="361" spans="2:4" x14ac:dyDescent="0.25">
      <c r="B361" s="54">
        <v>41194</v>
      </c>
      <c r="C361" s="48">
        <v>0.9375</v>
      </c>
      <c r="D361" s="20" t="s">
        <v>63</v>
      </c>
    </row>
    <row r="362" spans="2:4" x14ac:dyDescent="0.25">
      <c r="B362" s="54">
        <v>41194</v>
      </c>
      <c r="C362" s="48">
        <v>0.93819444444444444</v>
      </c>
      <c r="D362" s="20" t="s">
        <v>62</v>
      </c>
    </row>
    <row r="363" spans="2:4" x14ac:dyDescent="0.25">
      <c r="B363" s="54">
        <v>41194</v>
      </c>
      <c r="C363" s="48">
        <v>0.97986111111111107</v>
      </c>
      <c r="D363" s="20" t="s">
        <v>62</v>
      </c>
    </row>
    <row r="364" spans="2:4" x14ac:dyDescent="0.25">
      <c r="B364" s="54">
        <v>41194</v>
      </c>
      <c r="C364" s="48">
        <v>0.98055555555555562</v>
      </c>
      <c r="D364" s="20" t="s">
        <v>62</v>
      </c>
    </row>
    <row r="365" spans="2:4" x14ac:dyDescent="0.25">
      <c r="B365" s="54">
        <v>41194</v>
      </c>
      <c r="C365" s="48">
        <v>1.0208333333333333</v>
      </c>
      <c r="D365" s="20" t="s">
        <v>62</v>
      </c>
    </row>
    <row r="366" spans="2:4" x14ac:dyDescent="0.25">
      <c r="B366" s="54">
        <v>41194</v>
      </c>
      <c r="C366" s="48">
        <v>1.0458333333333334</v>
      </c>
      <c r="D366" s="20" t="s">
        <v>62</v>
      </c>
    </row>
    <row r="367" spans="2:4" x14ac:dyDescent="0.25">
      <c r="B367" s="54">
        <v>41194</v>
      </c>
      <c r="C367" s="48">
        <v>1.0479166666666666</v>
      </c>
      <c r="D367" s="20" t="s">
        <v>62</v>
      </c>
    </row>
    <row r="368" spans="2:4" x14ac:dyDescent="0.25">
      <c r="B368" s="54">
        <v>41194</v>
      </c>
      <c r="C368" s="48">
        <v>1.0847222222222224</v>
      </c>
      <c r="D368" s="20" t="s">
        <v>62</v>
      </c>
    </row>
    <row r="369" spans="2:4" x14ac:dyDescent="0.25">
      <c r="B369" s="54">
        <v>41194</v>
      </c>
      <c r="C369" s="48">
        <v>1.1229166666666666</v>
      </c>
      <c r="D369" s="20" t="s">
        <v>62</v>
      </c>
    </row>
    <row r="370" spans="2:4" x14ac:dyDescent="0.25">
      <c r="B370" s="54">
        <v>41195</v>
      </c>
      <c r="C370" s="48">
        <v>0.29236111111111113</v>
      </c>
      <c r="D370" s="20" t="s">
        <v>62</v>
      </c>
    </row>
    <row r="371" spans="2:4" x14ac:dyDescent="0.25">
      <c r="B371" s="54">
        <v>41195</v>
      </c>
      <c r="C371" s="48">
        <v>0.2951388888888889</v>
      </c>
      <c r="D371" s="20" t="s">
        <v>63</v>
      </c>
    </row>
    <row r="372" spans="2:4" x14ac:dyDescent="0.25">
      <c r="B372" s="54">
        <v>41195</v>
      </c>
      <c r="C372" s="48">
        <v>0.34027777777777773</v>
      </c>
      <c r="D372" s="20" t="s">
        <v>63</v>
      </c>
    </row>
    <row r="373" spans="2:4" x14ac:dyDescent="0.25">
      <c r="B373" s="54">
        <v>41195</v>
      </c>
      <c r="C373" s="48">
        <v>0.3666666666666667</v>
      </c>
      <c r="D373" s="20" t="s">
        <v>63</v>
      </c>
    </row>
    <row r="374" spans="2:4" x14ac:dyDescent="0.25">
      <c r="B374" s="54">
        <v>41195</v>
      </c>
      <c r="C374" s="48">
        <v>0.37777777777777777</v>
      </c>
      <c r="D374" s="20" t="s">
        <v>62</v>
      </c>
    </row>
    <row r="375" spans="2:4" x14ac:dyDescent="0.25">
      <c r="B375" s="54">
        <v>41195</v>
      </c>
      <c r="C375" s="48">
        <v>0.41875000000000001</v>
      </c>
      <c r="D375" s="20" t="s">
        <v>62</v>
      </c>
    </row>
    <row r="376" spans="2:4" x14ac:dyDescent="0.25">
      <c r="B376" s="54">
        <v>41195</v>
      </c>
      <c r="C376" s="48">
        <v>0.42430555555555555</v>
      </c>
      <c r="D376" s="20" t="s">
        <v>62</v>
      </c>
    </row>
    <row r="377" spans="2:4" x14ac:dyDescent="0.25">
      <c r="B377" s="54">
        <v>41195</v>
      </c>
      <c r="C377" s="48">
        <v>0.42430555555555555</v>
      </c>
      <c r="D377" s="20" t="s">
        <v>63</v>
      </c>
    </row>
    <row r="378" spans="2:4" x14ac:dyDescent="0.25">
      <c r="B378" s="54">
        <v>41195</v>
      </c>
      <c r="C378" s="48">
        <v>0.47569444444444442</v>
      </c>
      <c r="D378" s="20" t="s">
        <v>62</v>
      </c>
    </row>
    <row r="379" spans="2:4" x14ac:dyDescent="0.25">
      <c r="B379" s="54">
        <v>41195</v>
      </c>
      <c r="C379" s="48">
        <v>0.51458333333333328</v>
      </c>
      <c r="D379" s="20" t="s">
        <v>62</v>
      </c>
    </row>
    <row r="380" spans="2:4" x14ac:dyDescent="0.25">
      <c r="B380" s="54">
        <v>41195</v>
      </c>
      <c r="C380" s="48">
        <v>0.52083333333333337</v>
      </c>
      <c r="D380" s="20" t="s">
        <v>62</v>
      </c>
    </row>
    <row r="381" spans="2:4" x14ac:dyDescent="0.25">
      <c r="B381" s="54">
        <v>41195</v>
      </c>
      <c r="C381" s="48">
        <v>0.56736111111111109</v>
      </c>
      <c r="D381" s="20" t="s">
        <v>62</v>
      </c>
    </row>
    <row r="382" spans="2:4" x14ac:dyDescent="0.25">
      <c r="B382" s="54">
        <v>41195</v>
      </c>
      <c r="C382" s="48">
        <v>0.60625000000000007</v>
      </c>
      <c r="D382" s="20" t="s">
        <v>62</v>
      </c>
    </row>
    <row r="383" spans="2:4" x14ac:dyDescent="0.25">
      <c r="B383" s="54">
        <v>41195</v>
      </c>
      <c r="C383" s="48">
        <v>0.6479166666666667</v>
      </c>
      <c r="D383" s="20" t="s">
        <v>62</v>
      </c>
    </row>
    <row r="384" spans="2:4" x14ac:dyDescent="0.25">
      <c r="B384" s="54">
        <v>41195</v>
      </c>
      <c r="C384" s="48">
        <v>0.66597222222222219</v>
      </c>
      <c r="D384" s="20" t="s">
        <v>63</v>
      </c>
    </row>
    <row r="385" spans="2:4" x14ac:dyDescent="0.25">
      <c r="B385" s="54">
        <v>41195</v>
      </c>
      <c r="C385" s="48">
        <v>0.68472222222222223</v>
      </c>
      <c r="D385" s="20" t="s">
        <v>63</v>
      </c>
    </row>
    <row r="386" spans="2:4" x14ac:dyDescent="0.25">
      <c r="B386" s="54">
        <v>41195</v>
      </c>
      <c r="C386" s="48">
        <v>0.68958333333333333</v>
      </c>
      <c r="D386" s="20" t="s">
        <v>62</v>
      </c>
    </row>
    <row r="387" spans="2:4" x14ac:dyDescent="0.25">
      <c r="B387" s="54">
        <v>41195</v>
      </c>
      <c r="C387" s="48">
        <v>0.71388888888888891</v>
      </c>
      <c r="D387" s="20" t="s">
        <v>63</v>
      </c>
    </row>
    <row r="388" spans="2:4" x14ac:dyDescent="0.25">
      <c r="B388" s="54">
        <v>41195</v>
      </c>
      <c r="C388" s="48">
        <v>0.71597222222222223</v>
      </c>
      <c r="D388" s="20" t="s">
        <v>63</v>
      </c>
    </row>
    <row r="389" spans="2:4" x14ac:dyDescent="0.25">
      <c r="B389" s="54">
        <v>41195</v>
      </c>
      <c r="C389" s="48">
        <v>0.74444444444444446</v>
      </c>
      <c r="D389" s="20" t="s">
        <v>62</v>
      </c>
    </row>
    <row r="390" spans="2:4" x14ac:dyDescent="0.25">
      <c r="B390" s="54">
        <v>41195</v>
      </c>
      <c r="C390" s="48">
        <v>0.74791666666666667</v>
      </c>
      <c r="D390" s="20" t="s">
        <v>63</v>
      </c>
    </row>
    <row r="391" spans="2:4" x14ac:dyDescent="0.25">
      <c r="B391" s="54">
        <v>41195</v>
      </c>
      <c r="C391" s="48">
        <v>0.78263888888888899</v>
      </c>
      <c r="D391" s="20" t="s">
        <v>63</v>
      </c>
    </row>
    <row r="392" spans="2:4" x14ac:dyDescent="0.25">
      <c r="B392" s="54">
        <v>41195</v>
      </c>
      <c r="C392" s="48">
        <v>0.78888888888888886</v>
      </c>
      <c r="D392" s="20" t="s">
        <v>62</v>
      </c>
    </row>
    <row r="393" spans="2:4" x14ac:dyDescent="0.25">
      <c r="B393" s="54">
        <v>41195</v>
      </c>
      <c r="C393" s="48">
        <v>0.82916666666666661</v>
      </c>
      <c r="D393" s="20" t="s">
        <v>63</v>
      </c>
    </row>
    <row r="394" spans="2:4" x14ac:dyDescent="0.25">
      <c r="B394" s="54">
        <v>41196</v>
      </c>
      <c r="C394" s="48">
        <v>0.30555555555555552</v>
      </c>
      <c r="D394" s="20" t="s">
        <v>62</v>
      </c>
    </row>
    <row r="395" spans="2:4" x14ac:dyDescent="0.25">
      <c r="B395" s="54">
        <v>41196</v>
      </c>
      <c r="C395" s="48">
        <v>0.31388888888888888</v>
      </c>
      <c r="D395" s="20" t="s">
        <v>62</v>
      </c>
    </row>
    <row r="396" spans="2:4" x14ac:dyDescent="0.25">
      <c r="B396" s="54">
        <v>41196</v>
      </c>
      <c r="C396" s="48">
        <v>0.35000000000000003</v>
      </c>
      <c r="D396" s="20" t="s">
        <v>62</v>
      </c>
    </row>
    <row r="397" spans="2:4" x14ac:dyDescent="0.25">
      <c r="B397" s="54">
        <v>41196</v>
      </c>
      <c r="C397" s="48">
        <v>0.35833333333333334</v>
      </c>
      <c r="D397" s="20" t="s">
        <v>62</v>
      </c>
    </row>
    <row r="398" spans="2:4" x14ac:dyDescent="0.25">
      <c r="B398" s="54">
        <v>41196</v>
      </c>
      <c r="C398" s="48">
        <v>0.37222222222222223</v>
      </c>
      <c r="D398" s="20" t="s">
        <v>62</v>
      </c>
    </row>
    <row r="399" spans="2:4" x14ac:dyDescent="0.25">
      <c r="B399" s="54">
        <v>41196</v>
      </c>
      <c r="C399" s="48">
        <v>0.39513888888888887</v>
      </c>
      <c r="D399" s="20" t="s">
        <v>63</v>
      </c>
    </row>
    <row r="400" spans="2:4" x14ac:dyDescent="0.25">
      <c r="B400" s="54">
        <v>41196</v>
      </c>
      <c r="C400" s="48">
        <v>0.4375</v>
      </c>
      <c r="D400" s="20" t="s">
        <v>62</v>
      </c>
    </row>
    <row r="401" spans="2:4" x14ac:dyDescent="0.25">
      <c r="B401" s="54">
        <v>41196</v>
      </c>
      <c r="C401" s="48">
        <v>0.47361111111111115</v>
      </c>
      <c r="D401" s="20" t="s">
        <v>63</v>
      </c>
    </row>
    <row r="402" spans="2:4" x14ac:dyDescent="0.25">
      <c r="B402" s="54">
        <v>41196</v>
      </c>
      <c r="C402" s="48">
        <v>0.5083333333333333</v>
      </c>
      <c r="D402" s="20" t="s">
        <v>62</v>
      </c>
    </row>
    <row r="403" spans="2:4" x14ac:dyDescent="0.25">
      <c r="B403" s="54">
        <v>41196</v>
      </c>
      <c r="C403" s="48">
        <v>0.54097222222222219</v>
      </c>
      <c r="D403" s="20" t="s">
        <v>62</v>
      </c>
    </row>
    <row r="404" spans="2:4" x14ac:dyDescent="0.25">
      <c r="B404" s="54">
        <v>41196</v>
      </c>
      <c r="C404" s="48">
        <v>0.56458333333333333</v>
      </c>
      <c r="D404" s="20" t="s">
        <v>62</v>
      </c>
    </row>
    <row r="405" spans="2:4" x14ac:dyDescent="0.25">
      <c r="B405" s="54">
        <v>41196</v>
      </c>
      <c r="C405" s="48">
        <v>0.59513888888888888</v>
      </c>
      <c r="D405" s="20" t="s">
        <v>62</v>
      </c>
    </row>
    <row r="406" spans="2:4" x14ac:dyDescent="0.25">
      <c r="B406" s="54">
        <v>41196</v>
      </c>
      <c r="C406" s="48">
        <v>0.62430555555555556</v>
      </c>
      <c r="D406" s="20" t="s">
        <v>62</v>
      </c>
    </row>
    <row r="407" spans="2:4" x14ac:dyDescent="0.25">
      <c r="B407" s="54">
        <v>41196</v>
      </c>
      <c r="C407" s="48">
        <v>0.66388888888888886</v>
      </c>
      <c r="D407" s="20" t="s">
        <v>62</v>
      </c>
    </row>
    <row r="408" spans="2:4" x14ac:dyDescent="0.25">
      <c r="B408" s="54">
        <v>41196</v>
      </c>
      <c r="C408" s="48">
        <v>0.68194444444444446</v>
      </c>
      <c r="D408" s="20" t="s">
        <v>63</v>
      </c>
    </row>
    <row r="409" spans="2:4" x14ac:dyDescent="0.25">
      <c r="B409" s="54">
        <v>41196</v>
      </c>
      <c r="C409" s="48">
        <v>0.70624999999999993</v>
      </c>
      <c r="D409" s="20" t="s">
        <v>62</v>
      </c>
    </row>
    <row r="410" spans="2:4" x14ac:dyDescent="0.25">
      <c r="B410" s="54">
        <v>41196</v>
      </c>
      <c r="C410" s="48">
        <v>0.71111111111111114</v>
      </c>
      <c r="D410" s="20" t="s">
        <v>62</v>
      </c>
    </row>
    <row r="411" spans="2:4" x14ac:dyDescent="0.25">
      <c r="B411" s="54">
        <v>41196</v>
      </c>
      <c r="C411" s="48">
        <v>0.71527777777777779</v>
      </c>
      <c r="D411" s="20" t="s">
        <v>62</v>
      </c>
    </row>
    <row r="412" spans="2:4" x14ac:dyDescent="0.25">
      <c r="B412" s="54">
        <v>41196</v>
      </c>
      <c r="C412" s="48">
        <v>0.71875</v>
      </c>
      <c r="D412" s="20" t="s">
        <v>62</v>
      </c>
    </row>
    <row r="413" spans="2:4" x14ac:dyDescent="0.25">
      <c r="B413" s="54">
        <v>41196</v>
      </c>
      <c r="C413" s="48">
        <v>0.77361111111111114</v>
      </c>
      <c r="D413" s="20" t="s">
        <v>62</v>
      </c>
    </row>
    <row r="414" spans="2:4" x14ac:dyDescent="0.25">
      <c r="B414" s="54">
        <v>41196</v>
      </c>
      <c r="C414" s="48">
        <v>0.79652777777777783</v>
      </c>
      <c r="D414" s="20" t="s">
        <v>62</v>
      </c>
    </row>
    <row r="415" spans="2:4" x14ac:dyDescent="0.25">
      <c r="B415" s="54">
        <v>41196</v>
      </c>
      <c r="C415" s="48">
        <v>0.84236111111111101</v>
      </c>
      <c r="D415" s="20" t="s">
        <v>62</v>
      </c>
    </row>
    <row r="416" spans="2:4" x14ac:dyDescent="0.25">
      <c r="B416" s="54">
        <v>41196</v>
      </c>
      <c r="C416" s="48">
        <v>0.88124999999999998</v>
      </c>
      <c r="D416" s="20" t="s">
        <v>62</v>
      </c>
    </row>
    <row r="417" spans="2:4" x14ac:dyDescent="0.25">
      <c r="B417" s="54">
        <v>41196</v>
      </c>
      <c r="C417" s="48">
        <v>0.88263888888888886</v>
      </c>
      <c r="D417" s="20" t="s">
        <v>62</v>
      </c>
    </row>
    <row r="418" spans="2:4" x14ac:dyDescent="0.25">
      <c r="B418" s="54">
        <v>41197</v>
      </c>
      <c r="C418" s="48">
        <v>0.41250000000000003</v>
      </c>
      <c r="D418" s="20" t="s">
        <v>62</v>
      </c>
    </row>
    <row r="419" spans="2:4" x14ac:dyDescent="0.25">
      <c r="B419" s="54">
        <v>41197</v>
      </c>
      <c r="C419" s="48">
        <v>0.45763888888888887</v>
      </c>
      <c r="D419" s="20" t="s">
        <v>62</v>
      </c>
    </row>
    <row r="420" spans="2:4" x14ac:dyDescent="0.25">
      <c r="B420" s="54">
        <v>41197</v>
      </c>
      <c r="C420" s="48">
        <v>0.48749999999999999</v>
      </c>
      <c r="D420" s="20" t="s">
        <v>62</v>
      </c>
    </row>
    <row r="421" spans="2:4" x14ac:dyDescent="0.25">
      <c r="B421" s="54">
        <v>41197</v>
      </c>
      <c r="C421" s="48">
        <v>0.48958333333333331</v>
      </c>
      <c r="D421" s="20" t="s">
        <v>62</v>
      </c>
    </row>
    <row r="422" spans="2:4" x14ac:dyDescent="0.25">
      <c r="B422" s="54">
        <v>41197</v>
      </c>
      <c r="C422" s="48">
        <v>0.49583333333333335</v>
      </c>
      <c r="D422" s="20" t="s">
        <v>62</v>
      </c>
    </row>
    <row r="423" spans="2:4" x14ac:dyDescent="0.25">
      <c r="B423" s="54">
        <v>41197</v>
      </c>
      <c r="C423" s="48">
        <v>0.50972222222222219</v>
      </c>
      <c r="D423" s="20" t="s">
        <v>62</v>
      </c>
    </row>
    <row r="424" spans="2:4" x14ac:dyDescent="0.25">
      <c r="B424" s="54">
        <v>41197</v>
      </c>
      <c r="C424" s="48">
        <v>0.54097222222222219</v>
      </c>
      <c r="D424" s="20" t="s">
        <v>63</v>
      </c>
    </row>
    <row r="425" spans="2:4" x14ac:dyDescent="0.25">
      <c r="B425" s="54">
        <v>41197</v>
      </c>
      <c r="C425" s="48">
        <v>0.57847222222222217</v>
      </c>
      <c r="D425" s="20" t="s">
        <v>63</v>
      </c>
    </row>
    <row r="426" spans="2:4" x14ac:dyDescent="0.25">
      <c r="B426" s="54">
        <v>41197</v>
      </c>
      <c r="C426" s="48">
        <v>0.5805555555555556</v>
      </c>
      <c r="D426" s="20" t="s">
        <v>63</v>
      </c>
    </row>
    <row r="427" spans="2:4" x14ac:dyDescent="0.25">
      <c r="B427" s="54">
        <v>41197</v>
      </c>
      <c r="C427" s="48">
        <v>0.5854166666666667</v>
      </c>
      <c r="D427" s="20" t="s">
        <v>63</v>
      </c>
    </row>
    <row r="428" spans="2:4" x14ac:dyDescent="0.25">
      <c r="B428" s="54">
        <v>41197</v>
      </c>
      <c r="C428" s="48">
        <v>0.65625</v>
      </c>
      <c r="D428" s="20" t="s">
        <v>62</v>
      </c>
    </row>
    <row r="429" spans="2:4" x14ac:dyDescent="0.25">
      <c r="B429" s="54">
        <v>41197</v>
      </c>
      <c r="C429" s="48">
        <v>0.67569444444444438</v>
      </c>
      <c r="D429" s="20" t="s">
        <v>63</v>
      </c>
    </row>
    <row r="430" spans="2:4" x14ac:dyDescent="0.25">
      <c r="B430" s="54">
        <v>41197</v>
      </c>
      <c r="C430" s="48">
        <v>0.74930555555555556</v>
      </c>
      <c r="D430" s="20" t="s">
        <v>62</v>
      </c>
    </row>
    <row r="431" spans="2:4" x14ac:dyDescent="0.25">
      <c r="B431" s="54">
        <v>41197</v>
      </c>
      <c r="C431" s="48">
        <v>0.75624999999999998</v>
      </c>
      <c r="D431" s="20" t="s">
        <v>62</v>
      </c>
    </row>
    <row r="432" spans="2:4" x14ac:dyDescent="0.25">
      <c r="B432" s="54">
        <v>41197</v>
      </c>
      <c r="C432" s="48">
        <v>0.75694444444444453</v>
      </c>
      <c r="D432" s="20" t="s">
        <v>63</v>
      </c>
    </row>
    <row r="433" spans="2:4" x14ac:dyDescent="0.25">
      <c r="B433" s="54">
        <v>41197</v>
      </c>
      <c r="C433" s="48">
        <v>0.76180555555555562</v>
      </c>
      <c r="D433" s="20" t="s">
        <v>62</v>
      </c>
    </row>
    <row r="434" spans="2:4" x14ac:dyDescent="0.25">
      <c r="B434" s="54">
        <v>41197</v>
      </c>
      <c r="C434" s="48">
        <v>0.76736111111111116</v>
      </c>
      <c r="D434" s="20" t="s">
        <v>62</v>
      </c>
    </row>
    <row r="435" spans="2:4" x14ac:dyDescent="0.25">
      <c r="B435" s="54">
        <v>41197</v>
      </c>
      <c r="C435" s="48">
        <v>0.7729166666666667</v>
      </c>
      <c r="D435" s="20" t="s">
        <v>62</v>
      </c>
    </row>
    <row r="436" spans="2:4" x14ac:dyDescent="0.25">
      <c r="B436" s="54">
        <v>41197</v>
      </c>
      <c r="C436" s="48">
        <v>0.78680555555555554</v>
      </c>
      <c r="D436" s="20" t="s">
        <v>62</v>
      </c>
    </row>
    <row r="437" spans="2:4" x14ac:dyDescent="0.25">
      <c r="B437" s="54">
        <v>41197</v>
      </c>
      <c r="C437" s="48">
        <v>0.82777777777777783</v>
      </c>
      <c r="D437" s="20" t="s">
        <v>62</v>
      </c>
    </row>
    <row r="438" spans="2:4" x14ac:dyDescent="0.25">
      <c r="B438" s="54">
        <v>41197</v>
      </c>
      <c r="C438" s="48">
        <v>0.86458333333333337</v>
      </c>
      <c r="D438" s="20" t="s">
        <v>62</v>
      </c>
    </row>
    <row r="439" spans="2:4" x14ac:dyDescent="0.25">
      <c r="B439" s="54">
        <v>41197</v>
      </c>
      <c r="C439" s="48">
        <v>0.87083333333333324</v>
      </c>
      <c r="D439" s="20" t="s">
        <v>62</v>
      </c>
    </row>
    <row r="440" spans="2:4" x14ac:dyDescent="0.25">
      <c r="B440" s="54">
        <v>41197</v>
      </c>
      <c r="C440" s="48">
        <v>0.875</v>
      </c>
      <c r="D440" s="20" t="s">
        <v>62</v>
      </c>
    </row>
    <row r="441" spans="2:4" x14ac:dyDescent="0.25">
      <c r="B441" s="54">
        <v>41197</v>
      </c>
      <c r="C441" s="48">
        <v>0.89027777777777783</v>
      </c>
      <c r="D441" s="20" t="s">
        <v>62</v>
      </c>
    </row>
    <row r="442" spans="2:4" x14ac:dyDescent="0.25">
      <c r="B442" s="54">
        <v>41197</v>
      </c>
      <c r="C442" s="48">
        <v>0.89097222222222217</v>
      </c>
      <c r="D442" s="20" t="s">
        <v>62</v>
      </c>
    </row>
    <row r="443" spans="2:4" x14ac:dyDescent="0.25">
      <c r="B443" s="54">
        <v>41197</v>
      </c>
      <c r="C443" s="48">
        <v>0.8930555555555556</v>
      </c>
      <c r="D443" s="20" t="s">
        <v>62</v>
      </c>
    </row>
    <row r="444" spans="2:4" x14ac:dyDescent="0.25">
      <c r="B444" s="54">
        <v>41197</v>
      </c>
      <c r="C444" s="48">
        <v>0.91388888888888886</v>
      </c>
      <c r="D444" s="20" t="s">
        <v>63</v>
      </c>
    </row>
    <row r="445" spans="2:4" x14ac:dyDescent="0.25">
      <c r="B445" s="54">
        <v>41197</v>
      </c>
      <c r="C445" s="48">
        <v>0.92708333333333337</v>
      </c>
      <c r="D445" s="20" t="s">
        <v>63</v>
      </c>
    </row>
    <row r="446" spans="2:4" x14ac:dyDescent="0.25">
      <c r="B446" s="54">
        <v>41197</v>
      </c>
      <c r="C446" s="48">
        <v>0.94027777777777777</v>
      </c>
      <c r="D446" s="20" t="s">
        <v>63</v>
      </c>
    </row>
    <row r="447" spans="2:4" x14ac:dyDescent="0.25">
      <c r="B447" s="54">
        <v>41197</v>
      </c>
      <c r="C447" s="48">
        <v>0.94027777777777777</v>
      </c>
      <c r="D447" s="20" t="s">
        <v>62</v>
      </c>
    </row>
    <row r="448" spans="2:4" x14ac:dyDescent="0.25">
      <c r="B448" s="54">
        <v>41197</v>
      </c>
      <c r="C448" s="48">
        <v>0.94652777777777775</v>
      </c>
      <c r="D448" s="20" t="s">
        <v>62</v>
      </c>
    </row>
    <row r="449" spans="2:4" x14ac:dyDescent="0.25">
      <c r="B449" s="54">
        <v>41197</v>
      </c>
      <c r="C449" s="48">
        <v>0.97152777777777777</v>
      </c>
      <c r="D449" s="20" t="s">
        <v>63</v>
      </c>
    </row>
    <row r="450" spans="2:4" x14ac:dyDescent="0.25">
      <c r="B450" s="54">
        <v>41197</v>
      </c>
      <c r="C450" s="48">
        <v>0.98333333333333339</v>
      </c>
      <c r="D450" s="20" t="s">
        <v>62</v>
      </c>
    </row>
    <row r="451" spans="2:4" x14ac:dyDescent="0.25">
      <c r="B451" s="54">
        <v>41197</v>
      </c>
      <c r="C451" s="48">
        <v>1.0208333333333333</v>
      </c>
      <c r="D451" s="20" t="s">
        <v>62</v>
      </c>
    </row>
    <row r="452" spans="2:4" x14ac:dyDescent="0.25">
      <c r="B452" s="54">
        <v>41198</v>
      </c>
      <c r="C452" s="48">
        <v>0.375</v>
      </c>
      <c r="D452" s="20" t="s">
        <v>62</v>
      </c>
    </row>
    <row r="453" spans="2:4" x14ac:dyDescent="0.25">
      <c r="B453" s="54">
        <v>41198</v>
      </c>
      <c r="C453" s="48">
        <v>0.38263888888888892</v>
      </c>
      <c r="D453" s="20" t="s">
        <v>62</v>
      </c>
    </row>
    <row r="454" spans="2:4" x14ac:dyDescent="0.25">
      <c r="B454" s="54">
        <v>41198</v>
      </c>
      <c r="C454" s="48">
        <v>0.38750000000000001</v>
      </c>
      <c r="D454" s="20" t="s">
        <v>62</v>
      </c>
    </row>
    <row r="455" spans="2:4" x14ac:dyDescent="0.25">
      <c r="B455" s="54">
        <v>41198</v>
      </c>
      <c r="C455" s="48">
        <v>0.39861111111111108</v>
      </c>
      <c r="D455" s="20" t="s">
        <v>63</v>
      </c>
    </row>
    <row r="456" spans="2:4" x14ac:dyDescent="0.25">
      <c r="B456" s="54">
        <v>41198</v>
      </c>
      <c r="C456" s="48">
        <v>0.41111111111111115</v>
      </c>
      <c r="D456" s="20" t="s">
        <v>62</v>
      </c>
    </row>
    <row r="457" spans="2:4" x14ac:dyDescent="0.25">
      <c r="B457" s="54">
        <v>41198</v>
      </c>
      <c r="C457" s="48">
        <v>0.43263888888888885</v>
      </c>
      <c r="D457" s="20" t="s">
        <v>62</v>
      </c>
    </row>
    <row r="458" spans="2:4" x14ac:dyDescent="0.25">
      <c r="B458" s="54">
        <v>41198</v>
      </c>
      <c r="C458" s="48">
        <v>0.44722222222222219</v>
      </c>
      <c r="D458" s="20" t="s">
        <v>62</v>
      </c>
    </row>
    <row r="459" spans="2:4" x14ac:dyDescent="0.25">
      <c r="B459" s="54">
        <v>41198</v>
      </c>
      <c r="C459" s="48">
        <v>0.45347222222222222</v>
      </c>
      <c r="D459" s="20" t="s">
        <v>62</v>
      </c>
    </row>
    <row r="460" spans="2:4" x14ac:dyDescent="0.25">
      <c r="B460" s="54">
        <v>41198</v>
      </c>
      <c r="C460" s="48">
        <v>0.48888888888888887</v>
      </c>
      <c r="D460" s="20" t="s">
        <v>63</v>
      </c>
    </row>
    <row r="461" spans="2:4" x14ac:dyDescent="0.25">
      <c r="B461" s="54">
        <v>41198</v>
      </c>
      <c r="C461" s="48">
        <v>0.53055555555555556</v>
      </c>
      <c r="D461" s="20" t="s">
        <v>62</v>
      </c>
    </row>
    <row r="462" spans="2:4" x14ac:dyDescent="0.25">
      <c r="B462" s="54">
        <v>41198</v>
      </c>
      <c r="C462" s="48">
        <v>0.57013888888888886</v>
      </c>
      <c r="D462" s="20" t="s">
        <v>63</v>
      </c>
    </row>
    <row r="463" spans="2:4" x14ac:dyDescent="0.25">
      <c r="B463" s="54">
        <v>41198</v>
      </c>
      <c r="C463" s="48">
        <v>0.59444444444444444</v>
      </c>
      <c r="D463" s="20" t="s">
        <v>62</v>
      </c>
    </row>
    <row r="464" spans="2:4" x14ac:dyDescent="0.25">
      <c r="B464" s="54">
        <v>41198</v>
      </c>
      <c r="C464" s="48">
        <v>0.59930555555555554</v>
      </c>
      <c r="D464" s="20" t="s">
        <v>63</v>
      </c>
    </row>
    <row r="465" spans="2:4" x14ac:dyDescent="0.25">
      <c r="B465" s="54">
        <v>41198</v>
      </c>
      <c r="C465" s="48">
        <v>0.60972222222222217</v>
      </c>
      <c r="D465" s="20" t="s">
        <v>62</v>
      </c>
    </row>
    <row r="466" spans="2:4" x14ac:dyDescent="0.25">
      <c r="B466" s="54">
        <v>41198</v>
      </c>
      <c r="C466" s="48">
        <v>0.6118055555555556</v>
      </c>
      <c r="D466" s="20" t="s">
        <v>62</v>
      </c>
    </row>
    <row r="467" spans="2:4" x14ac:dyDescent="0.25">
      <c r="B467" s="54">
        <v>41198</v>
      </c>
      <c r="C467" s="48">
        <v>0.62083333333333335</v>
      </c>
      <c r="D467" s="20" t="s">
        <v>62</v>
      </c>
    </row>
    <row r="468" spans="2:4" x14ac:dyDescent="0.25">
      <c r="B468" s="54">
        <v>41198</v>
      </c>
      <c r="C468" s="48">
        <v>0.63402777777777775</v>
      </c>
      <c r="D468" s="20" t="s">
        <v>62</v>
      </c>
    </row>
    <row r="469" spans="2:4" x14ac:dyDescent="0.25">
      <c r="B469" s="54">
        <v>41199</v>
      </c>
      <c r="C469" s="48">
        <v>0.34791666666666665</v>
      </c>
      <c r="D469" s="20" t="s">
        <v>63</v>
      </c>
    </row>
    <row r="470" spans="2:4" x14ac:dyDescent="0.25">
      <c r="B470" s="54">
        <v>41199</v>
      </c>
      <c r="C470" s="48">
        <v>0.36249999999999999</v>
      </c>
      <c r="D470" s="20" t="s">
        <v>63</v>
      </c>
    </row>
    <row r="471" spans="2:4" x14ac:dyDescent="0.25">
      <c r="B471" s="54">
        <v>41199</v>
      </c>
      <c r="C471" s="48">
        <v>0.36249999999999999</v>
      </c>
      <c r="D471" s="20" t="s">
        <v>62</v>
      </c>
    </row>
    <row r="472" spans="2:4" x14ac:dyDescent="0.25">
      <c r="B472" s="54">
        <v>41199</v>
      </c>
      <c r="C472" s="48">
        <v>0.3666666666666667</v>
      </c>
      <c r="D472" s="20" t="s">
        <v>62</v>
      </c>
    </row>
    <row r="473" spans="2:4" x14ac:dyDescent="0.25">
      <c r="B473" s="54">
        <v>41199</v>
      </c>
      <c r="C473" s="48">
        <v>0.39513888888888887</v>
      </c>
      <c r="D473" s="20" t="s">
        <v>63</v>
      </c>
    </row>
    <row r="474" spans="2:4" x14ac:dyDescent="0.25">
      <c r="B474" s="54">
        <v>41199</v>
      </c>
      <c r="C474" s="48">
        <v>0.42499999999999999</v>
      </c>
      <c r="D474" s="20" t="s">
        <v>62</v>
      </c>
    </row>
    <row r="475" spans="2:4" x14ac:dyDescent="0.25">
      <c r="B475" s="54">
        <v>41199</v>
      </c>
      <c r="C475" s="48">
        <v>0.42777777777777781</v>
      </c>
      <c r="D475" s="20" t="s">
        <v>62</v>
      </c>
    </row>
    <row r="476" spans="2:4" x14ac:dyDescent="0.25">
      <c r="B476" s="54">
        <v>41199</v>
      </c>
      <c r="C476" s="48">
        <v>0.43263888888888885</v>
      </c>
      <c r="D476" s="20" t="s">
        <v>63</v>
      </c>
    </row>
    <row r="477" spans="2:4" x14ac:dyDescent="0.25">
      <c r="B477" s="54">
        <v>41199</v>
      </c>
      <c r="C477" s="48">
        <v>0.4375</v>
      </c>
      <c r="D477" s="20" t="s">
        <v>62</v>
      </c>
    </row>
    <row r="478" spans="2:4" x14ac:dyDescent="0.25">
      <c r="B478" s="54">
        <v>41199</v>
      </c>
      <c r="C478" s="48">
        <v>0.49236111111111108</v>
      </c>
      <c r="D478" s="20" t="s">
        <v>62</v>
      </c>
    </row>
    <row r="479" spans="2:4" x14ac:dyDescent="0.25">
      <c r="B479" s="54">
        <v>41199</v>
      </c>
      <c r="C479" s="48">
        <v>0.51597222222222217</v>
      </c>
      <c r="D479" s="20" t="s">
        <v>62</v>
      </c>
    </row>
    <row r="480" spans="2:4" x14ac:dyDescent="0.25">
      <c r="B480" s="54">
        <v>41199</v>
      </c>
      <c r="C480" s="48">
        <v>0.51874999999999993</v>
      </c>
      <c r="D480" s="20" t="s">
        <v>62</v>
      </c>
    </row>
    <row r="481" spans="2:4" x14ac:dyDescent="0.25">
      <c r="B481" s="54">
        <v>41199</v>
      </c>
      <c r="C481" s="48">
        <v>0.53125</v>
      </c>
      <c r="D481" s="20" t="s">
        <v>62</v>
      </c>
    </row>
    <row r="482" spans="2:4" x14ac:dyDescent="0.25">
      <c r="B482" s="54">
        <v>41199</v>
      </c>
      <c r="C482" s="48">
        <v>0.53749999999999998</v>
      </c>
      <c r="D482" s="20" t="s">
        <v>62</v>
      </c>
    </row>
    <row r="483" spans="2:4" x14ac:dyDescent="0.25">
      <c r="B483" s="54">
        <v>41199</v>
      </c>
      <c r="C483" s="48">
        <v>0.5625</v>
      </c>
      <c r="D483" s="20" t="s">
        <v>62</v>
      </c>
    </row>
    <row r="484" spans="2:4" x14ac:dyDescent="0.25">
      <c r="B484" s="54">
        <v>41199</v>
      </c>
      <c r="C484" s="48">
        <v>0.5756944444444444</v>
      </c>
      <c r="D484" s="20" t="s">
        <v>62</v>
      </c>
    </row>
    <row r="485" spans="2:4" x14ac:dyDescent="0.25">
      <c r="B485" s="54">
        <v>41199</v>
      </c>
      <c r="C485" s="48">
        <v>0.59097222222222223</v>
      </c>
      <c r="D485" s="20" t="s">
        <v>62</v>
      </c>
    </row>
    <row r="486" spans="2:4" x14ac:dyDescent="0.25">
      <c r="B486" s="54">
        <v>41199</v>
      </c>
      <c r="C486" s="48">
        <v>0.59097222222222223</v>
      </c>
      <c r="D486" s="20" t="s">
        <v>62</v>
      </c>
    </row>
    <row r="487" spans="2:4" x14ac:dyDescent="0.25">
      <c r="B487" s="54">
        <v>41199</v>
      </c>
      <c r="C487" s="48">
        <v>0.66527777777777775</v>
      </c>
      <c r="D487" s="20" t="s">
        <v>63</v>
      </c>
    </row>
    <row r="488" spans="2:4" x14ac:dyDescent="0.25">
      <c r="B488" s="54">
        <v>41199</v>
      </c>
      <c r="C488" s="48">
        <v>0.6694444444444444</v>
      </c>
      <c r="D488" s="20" t="s">
        <v>63</v>
      </c>
    </row>
    <row r="489" spans="2:4" x14ac:dyDescent="0.25">
      <c r="B489" s="54">
        <v>41199</v>
      </c>
      <c r="C489" s="48">
        <v>0.71666666666666667</v>
      </c>
      <c r="D489" s="20" t="s">
        <v>62</v>
      </c>
    </row>
    <row r="490" spans="2:4" x14ac:dyDescent="0.25">
      <c r="B490" s="54">
        <v>41199</v>
      </c>
      <c r="C490" s="48">
        <v>0.75763888888888886</v>
      </c>
      <c r="D490" s="20" t="s">
        <v>62</v>
      </c>
    </row>
    <row r="491" spans="2:4" x14ac:dyDescent="0.25">
      <c r="B491" s="54">
        <v>41199</v>
      </c>
      <c r="C491" s="48">
        <v>0.7597222222222223</v>
      </c>
      <c r="D491" s="20" t="s">
        <v>62</v>
      </c>
    </row>
    <row r="492" spans="2:4" x14ac:dyDescent="0.25">
      <c r="B492" s="54">
        <v>41199</v>
      </c>
      <c r="C492" s="48">
        <v>0.79861111111111116</v>
      </c>
      <c r="D492" s="20" t="s">
        <v>62</v>
      </c>
    </row>
    <row r="493" spans="2:4" x14ac:dyDescent="0.25">
      <c r="B493" s="54">
        <v>41199</v>
      </c>
      <c r="C493" s="48">
        <v>0.83124999999999993</v>
      </c>
      <c r="D493" s="20" t="s">
        <v>62</v>
      </c>
    </row>
    <row r="494" spans="2:4" x14ac:dyDescent="0.25">
      <c r="B494" s="54">
        <v>41199</v>
      </c>
      <c r="C494" s="48">
        <v>0.83750000000000002</v>
      </c>
      <c r="D494" s="20" t="s">
        <v>63</v>
      </c>
    </row>
    <row r="495" spans="2:4" x14ac:dyDescent="0.25">
      <c r="B495" s="54">
        <v>41199</v>
      </c>
      <c r="C495" s="48">
        <v>0.84236111111111101</v>
      </c>
      <c r="D495" s="20" t="s">
        <v>62</v>
      </c>
    </row>
    <row r="496" spans="2:4" x14ac:dyDescent="0.25">
      <c r="B496" s="54">
        <v>41199</v>
      </c>
      <c r="C496" s="48">
        <v>0.85972222222222217</v>
      </c>
      <c r="D496" s="20" t="s">
        <v>62</v>
      </c>
    </row>
    <row r="497" spans="2:4" x14ac:dyDescent="0.25">
      <c r="B497" s="54">
        <v>41199</v>
      </c>
      <c r="C497" s="48">
        <v>0.91041666666666676</v>
      </c>
      <c r="D497" s="20" t="s">
        <v>63</v>
      </c>
    </row>
    <row r="498" spans="2:4" x14ac:dyDescent="0.25">
      <c r="B498" s="54">
        <v>41199</v>
      </c>
      <c r="C498" s="48">
        <v>0.91875000000000007</v>
      </c>
      <c r="D498" s="20" t="s">
        <v>63</v>
      </c>
    </row>
    <row r="499" spans="2:4" x14ac:dyDescent="0.25">
      <c r="B499" s="54">
        <v>41199</v>
      </c>
      <c r="C499" s="48">
        <v>0.93333333333333324</v>
      </c>
      <c r="D499" s="20" t="s">
        <v>63</v>
      </c>
    </row>
    <row r="500" spans="2:4" x14ac:dyDescent="0.25">
      <c r="B500" s="54">
        <v>41199</v>
      </c>
      <c r="C500" s="48">
        <v>0.9375</v>
      </c>
      <c r="D500" s="20" t="s">
        <v>62</v>
      </c>
    </row>
    <row r="501" spans="2:4" x14ac:dyDescent="0.25">
      <c r="B501" s="54">
        <v>41199</v>
      </c>
      <c r="C501" s="48">
        <v>0.94027777777777777</v>
      </c>
      <c r="D501" s="20" t="s">
        <v>62</v>
      </c>
    </row>
    <row r="502" spans="2:4" x14ac:dyDescent="0.25">
      <c r="B502" s="54">
        <v>41199</v>
      </c>
      <c r="C502" s="48">
        <v>0.97430555555555554</v>
      </c>
      <c r="D502" s="20" t="s">
        <v>62</v>
      </c>
    </row>
    <row r="503" spans="2:4" x14ac:dyDescent="0.25">
      <c r="B503" s="54">
        <v>41199</v>
      </c>
      <c r="C503" s="48">
        <v>0.97430555555555554</v>
      </c>
      <c r="D503" s="20" t="s">
        <v>62</v>
      </c>
    </row>
    <row r="504" spans="2:4" x14ac:dyDescent="0.25">
      <c r="B504" s="54">
        <v>41199</v>
      </c>
      <c r="C504" s="48">
        <v>0.97430555555555554</v>
      </c>
      <c r="D504" s="20" t="s">
        <v>62</v>
      </c>
    </row>
    <row r="505" spans="2:4" x14ac:dyDescent="0.25">
      <c r="B505" s="54">
        <v>41199</v>
      </c>
      <c r="C505" s="48">
        <v>0.98263888888888884</v>
      </c>
      <c r="D505" s="20" t="s">
        <v>62</v>
      </c>
    </row>
    <row r="506" spans="2:4" x14ac:dyDescent="0.25">
      <c r="B506" s="54">
        <v>41200</v>
      </c>
      <c r="C506" s="48">
        <v>0.3840277777777778</v>
      </c>
      <c r="D506" s="20" t="s">
        <v>62</v>
      </c>
    </row>
    <row r="507" spans="2:4" x14ac:dyDescent="0.25">
      <c r="B507" s="54">
        <v>41200</v>
      </c>
      <c r="C507" s="48">
        <v>0.39861111111111108</v>
      </c>
      <c r="D507" s="20" t="s">
        <v>62</v>
      </c>
    </row>
    <row r="508" spans="2:4" x14ac:dyDescent="0.25">
      <c r="B508" s="54">
        <v>41200</v>
      </c>
      <c r="C508" s="48">
        <v>0.4465277777777778</v>
      </c>
      <c r="D508" s="20" t="s">
        <v>62</v>
      </c>
    </row>
    <row r="509" spans="2:4" x14ac:dyDescent="0.25">
      <c r="B509" s="54">
        <v>41200</v>
      </c>
      <c r="C509" s="48">
        <v>0.46597222222222223</v>
      </c>
      <c r="D509" s="20" t="s">
        <v>63</v>
      </c>
    </row>
    <row r="510" spans="2:4" x14ac:dyDescent="0.25">
      <c r="B510" s="54">
        <v>41200</v>
      </c>
      <c r="C510" s="48">
        <v>0.51597222222222217</v>
      </c>
      <c r="D510" s="20" t="s">
        <v>62</v>
      </c>
    </row>
    <row r="511" spans="2:4" x14ac:dyDescent="0.25">
      <c r="B511" s="54">
        <v>41200</v>
      </c>
      <c r="C511" s="48">
        <v>0.55555555555555558</v>
      </c>
      <c r="D511" s="20" t="s">
        <v>63</v>
      </c>
    </row>
    <row r="512" spans="2:4" x14ac:dyDescent="0.25">
      <c r="B512" s="54">
        <v>41200</v>
      </c>
      <c r="C512" s="48">
        <v>0.62430555555555556</v>
      </c>
      <c r="D512" s="20" t="s">
        <v>62</v>
      </c>
    </row>
    <row r="513" spans="2:4" x14ac:dyDescent="0.25">
      <c r="B513" s="54">
        <v>41200</v>
      </c>
      <c r="C513" s="48">
        <v>0.64583333333333337</v>
      </c>
      <c r="D513" s="20" t="s">
        <v>62</v>
      </c>
    </row>
    <row r="514" spans="2:4" x14ac:dyDescent="0.25">
      <c r="B514" s="54">
        <v>41200</v>
      </c>
      <c r="C514" s="48">
        <v>0.65138888888888891</v>
      </c>
      <c r="D514" s="20" t="s">
        <v>63</v>
      </c>
    </row>
    <row r="515" spans="2:4" x14ac:dyDescent="0.25">
      <c r="B515" s="54">
        <v>41200</v>
      </c>
      <c r="C515" s="48">
        <v>0.6645833333333333</v>
      </c>
      <c r="D515" s="20" t="s">
        <v>62</v>
      </c>
    </row>
    <row r="516" spans="2:4" x14ac:dyDescent="0.25">
      <c r="B516" s="54">
        <v>41200</v>
      </c>
      <c r="C516" s="48">
        <v>0.6743055555555556</v>
      </c>
      <c r="D516" s="20" t="s">
        <v>62</v>
      </c>
    </row>
    <row r="517" spans="2:4" x14ac:dyDescent="0.25">
      <c r="B517" s="54">
        <v>41200</v>
      </c>
      <c r="C517" s="48">
        <v>0.67986111111111114</v>
      </c>
      <c r="D517" s="20" t="s">
        <v>62</v>
      </c>
    </row>
    <row r="518" spans="2:4" x14ac:dyDescent="0.25">
      <c r="B518" s="54">
        <v>41200</v>
      </c>
      <c r="C518" s="48">
        <v>0.71319444444444446</v>
      </c>
      <c r="D518" s="20" t="s">
        <v>62</v>
      </c>
    </row>
    <row r="519" spans="2:4" x14ac:dyDescent="0.25">
      <c r="B519" s="54">
        <v>41200</v>
      </c>
      <c r="C519" s="48">
        <v>0.71736111111111101</v>
      </c>
      <c r="D519" s="20" t="s">
        <v>63</v>
      </c>
    </row>
    <row r="520" spans="2:4" x14ac:dyDescent="0.25">
      <c r="B520" s="54">
        <v>41200</v>
      </c>
      <c r="C520" s="48">
        <v>0.78055555555555556</v>
      </c>
      <c r="D520" s="20" t="s">
        <v>62</v>
      </c>
    </row>
    <row r="521" spans="2:4" x14ac:dyDescent="0.25">
      <c r="B521" s="54">
        <v>41200</v>
      </c>
      <c r="C521" s="48">
        <v>0.79305555555555562</v>
      </c>
      <c r="D521" s="20" t="s">
        <v>62</v>
      </c>
    </row>
    <row r="522" spans="2:4" x14ac:dyDescent="0.25">
      <c r="B522" s="54">
        <v>41200</v>
      </c>
      <c r="C522" s="48">
        <v>0.86736111111111114</v>
      </c>
      <c r="D522" s="20" t="s">
        <v>62</v>
      </c>
    </row>
    <row r="523" spans="2:4" x14ac:dyDescent="0.25">
      <c r="B523" s="54">
        <v>41200</v>
      </c>
      <c r="C523" s="48">
        <v>0.87083333333333324</v>
      </c>
      <c r="D523" s="20" t="s">
        <v>62</v>
      </c>
    </row>
    <row r="524" spans="2:4" x14ac:dyDescent="0.25">
      <c r="B524" s="54">
        <v>41200</v>
      </c>
      <c r="C524" s="48">
        <v>0.88402777777777775</v>
      </c>
      <c r="D524" s="20" t="s">
        <v>62</v>
      </c>
    </row>
    <row r="525" spans="2:4" x14ac:dyDescent="0.25">
      <c r="B525" s="54">
        <v>41200</v>
      </c>
      <c r="C525" s="48">
        <v>0.91666666666666663</v>
      </c>
      <c r="D525" s="20" t="s">
        <v>62</v>
      </c>
    </row>
    <row r="526" spans="2:4" x14ac:dyDescent="0.25">
      <c r="B526" s="54">
        <v>41200</v>
      </c>
      <c r="C526" s="48">
        <v>0.92638888888888893</v>
      </c>
      <c r="D526" s="20" t="s">
        <v>62</v>
      </c>
    </row>
    <row r="527" spans="2:4" x14ac:dyDescent="0.25">
      <c r="B527" s="54">
        <v>41200</v>
      </c>
      <c r="C527" s="48">
        <v>0.95138888888888884</v>
      </c>
      <c r="D527" s="20" t="s">
        <v>62</v>
      </c>
    </row>
    <row r="528" spans="2:4" x14ac:dyDescent="0.25">
      <c r="B528" s="54">
        <v>41200</v>
      </c>
      <c r="C528" s="48">
        <v>0.95138888888888884</v>
      </c>
      <c r="D528" s="20" t="s">
        <v>62</v>
      </c>
    </row>
    <row r="529" spans="2:4" x14ac:dyDescent="0.25">
      <c r="B529" s="54">
        <v>41200</v>
      </c>
      <c r="C529" s="48">
        <v>0.95138888888888884</v>
      </c>
      <c r="D529" s="20" t="s">
        <v>62</v>
      </c>
    </row>
    <row r="530" spans="2:4" x14ac:dyDescent="0.25">
      <c r="B530" s="54">
        <v>41200</v>
      </c>
      <c r="C530" s="48">
        <v>0.95138888888888884</v>
      </c>
      <c r="D530" s="20" t="s">
        <v>63</v>
      </c>
    </row>
    <row r="531" spans="2:4" x14ac:dyDescent="0.25">
      <c r="B531" s="54">
        <v>41200</v>
      </c>
      <c r="C531" s="48">
        <v>0.95138888888888884</v>
      </c>
      <c r="D531" s="20" t="s">
        <v>62</v>
      </c>
    </row>
    <row r="532" spans="2:4" x14ac:dyDescent="0.25">
      <c r="B532" s="54">
        <v>41200</v>
      </c>
      <c r="C532" s="48">
        <v>0.96527777777777779</v>
      </c>
      <c r="D532" s="20" t="s">
        <v>63</v>
      </c>
    </row>
    <row r="533" spans="2:4" x14ac:dyDescent="0.25">
      <c r="B533" s="54">
        <v>41200</v>
      </c>
      <c r="C533" s="48">
        <v>0.96527777777777779</v>
      </c>
      <c r="D533" s="20" t="s">
        <v>62</v>
      </c>
    </row>
    <row r="534" spans="2:4" x14ac:dyDescent="0.25">
      <c r="B534" s="54">
        <v>41200</v>
      </c>
      <c r="C534" s="48">
        <v>0.96597222222222223</v>
      </c>
      <c r="D534" s="20" t="s">
        <v>62</v>
      </c>
    </row>
    <row r="535" spans="2:4" x14ac:dyDescent="0.25">
      <c r="B535" s="54">
        <v>41200</v>
      </c>
      <c r="C535" s="48">
        <v>0.98402777777777783</v>
      </c>
      <c r="D535" s="20" t="s">
        <v>62</v>
      </c>
    </row>
    <row r="536" spans="2:4" x14ac:dyDescent="0.25">
      <c r="B536" s="54">
        <v>41200</v>
      </c>
      <c r="C536" s="48">
        <v>0.98402777777777783</v>
      </c>
      <c r="D536" s="20" t="s">
        <v>63</v>
      </c>
    </row>
    <row r="537" spans="2:4" x14ac:dyDescent="0.25">
      <c r="B537" s="54">
        <v>41200</v>
      </c>
      <c r="C537" s="48">
        <v>0.99652777777777779</v>
      </c>
      <c r="D537" s="20" t="s">
        <v>62</v>
      </c>
    </row>
    <row r="538" spans="2:4" x14ac:dyDescent="0.25">
      <c r="B538" s="54">
        <v>41200</v>
      </c>
      <c r="C538" s="48">
        <v>0.99652777777777779</v>
      </c>
      <c r="D538" s="20" t="s">
        <v>63</v>
      </c>
    </row>
    <row r="539" spans="2:4" x14ac:dyDescent="0.25">
      <c r="B539" s="54">
        <v>41200</v>
      </c>
      <c r="C539" s="48">
        <v>0.99652777777777779</v>
      </c>
      <c r="D539" s="20" t="s">
        <v>63</v>
      </c>
    </row>
    <row r="540" spans="2:4" x14ac:dyDescent="0.25">
      <c r="B540" s="54">
        <v>41200</v>
      </c>
      <c r="C540" s="48">
        <v>0.99652777777777779</v>
      </c>
      <c r="D540" s="20" t="s">
        <v>62</v>
      </c>
    </row>
    <row r="541" spans="2:4" x14ac:dyDescent="0.25">
      <c r="B541" s="54">
        <v>41200</v>
      </c>
      <c r="C541" s="48">
        <v>0.99652777777777779</v>
      </c>
      <c r="D541" s="20" t="s">
        <v>62</v>
      </c>
    </row>
    <row r="542" spans="2:4" x14ac:dyDescent="0.25">
      <c r="B542" s="54">
        <v>41200</v>
      </c>
      <c r="C542" s="48">
        <v>0.99652777777777779</v>
      </c>
      <c r="D542" s="20" t="s">
        <v>63</v>
      </c>
    </row>
    <row r="543" spans="2:4" x14ac:dyDescent="0.25">
      <c r="B543" s="54">
        <v>41201</v>
      </c>
      <c r="C543" s="48">
        <v>0.43611111111111112</v>
      </c>
      <c r="D543" s="20" t="s">
        <v>62</v>
      </c>
    </row>
    <row r="544" spans="2:4" x14ac:dyDescent="0.25">
      <c r="B544" s="54">
        <v>41201</v>
      </c>
      <c r="C544" s="48">
        <v>0.47986111111111113</v>
      </c>
      <c r="D544" s="20" t="s">
        <v>62</v>
      </c>
    </row>
    <row r="545" spans="2:4" x14ac:dyDescent="0.25">
      <c r="B545" s="54">
        <v>41201</v>
      </c>
      <c r="C545" s="48">
        <v>0.49027777777777781</v>
      </c>
      <c r="D545" s="20" t="s">
        <v>62</v>
      </c>
    </row>
    <row r="546" spans="2:4" x14ac:dyDescent="0.25">
      <c r="B546" s="54">
        <v>41201</v>
      </c>
      <c r="C546" s="48">
        <v>0.50277777777777777</v>
      </c>
      <c r="D546" s="20" t="s">
        <v>62</v>
      </c>
    </row>
    <row r="547" spans="2:4" x14ac:dyDescent="0.25">
      <c r="B547" s="54">
        <v>41201</v>
      </c>
      <c r="C547" s="48">
        <v>0.50486111111111109</v>
      </c>
      <c r="D547" s="20" t="s">
        <v>63</v>
      </c>
    </row>
    <row r="548" spans="2:4" x14ac:dyDescent="0.25">
      <c r="B548" s="54">
        <v>41201</v>
      </c>
      <c r="C548" s="48">
        <v>0.50972222222222219</v>
      </c>
      <c r="D548" s="20" t="s">
        <v>62</v>
      </c>
    </row>
    <row r="549" spans="2:4" x14ac:dyDescent="0.25">
      <c r="B549" s="54">
        <v>41201</v>
      </c>
      <c r="C549" s="48">
        <v>0.52500000000000002</v>
      </c>
      <c r="D549" s="20" t="s">
        <v>62</v>
      </c>
    </row>
    <row r="550" spans="2:4" x14ac:dyDescent="0.25">
      <c r="B550" s="54">
        <v>41201</v>
      </c>
      <c r="C550" s="48">
        <v>0.52708333333333335</v>
      </c>
      <c r="D550" s="20" t="s">
        <v>63</v>
      </c>
    </row>
    <row r="551" spans="2:4" x14ac:dyDescent="0.25">
      <c r="B551" s="54">
        <v>41201</v>
      </c>
      <c r="C551" s="48">
        <v>0.56527777777777777</v>
      </c>
      <c r="D551" s="20" t="s">
        <v>62</v>
      </c>
    </row>
    <row r="552" spans="2:4" x14ac:dyDescent="0.25">
      <c r="B552" s="54">
        <v>41201</v>
      </c>
      <c r="C552" s="48">
        <v>0.58750000000000002</v>
      </c>
      <c r="D552" s="20" t="s">
        <v>63</v>
      </c>
    </row>
    <row r="553" spans="2:4" x14ac:dyDescent="0.25">
      <c r="B553" s="54">
        <v>41201</v>
      </c>
      <c r="C553" s="48">
        <v>0.6069444444444444</v>
      </c>
      <c r="D553" s="20" t="s">
        <v>62</v>
      </c>
    </row>
    <row r="554" spans="2:4" x14ac:dyDescent="0.25">
      <c r="B554" s="54">
        <v>41201</v>
      </c>
      <c r="C554" s="48">
        <v>0.61805555555555558</v>
      </c>
      <c r="D554" s="20" t="s">
        <v>62</v>
      </c>
    </row>
    <row r="555" spans="2:4" x14ac:dyDescent="0.25">
      <c r="B555" s="54">
        <v>41201</v>
      </c>
      <c r="C555" s="48">
        <v>0.62152777777777779</v>
      </c>
      <c r="D555" s="20" t="s">
        <v>62</v>
      </c>
    </row>
    <row r="556" spans="2:4" x14ac:dyDescent="0.25">
      <c r="B556" s="54">
        <v>41201</v>
      </c>
      <c r="C556" s="48">
        <v>0.63611111111111118</v>
      </c>
      <c r="D556" s="20" t="s">
        <v>62</v>
      </c>
    </row>
    <row r="557" spans="2:4" x14ac:dyDescent="0.25">
      <c r="B557" s="54">
        <v>41201</v>
      </c>
      <c r="C557" s="48">
        <v>0.63750000000000007</v>
      </c>
      <c r="D557" s="20" t="s">
        <v>62</v>
      </c>
    </row>
    <row r="558" spans="2:4" x14ac:dyDescent="0.25">
      <c r="B558" s="54">
        <v>41201</v>
      </c>
      <c r="C558" s="48">
        <v>0.65972222222222221</v>
      </c>
      <c r="D558" s="20" t="s">
        <v>62</v>
      </c>
    </row>
    <row r="559" spans="2:4" x14ac:dyDescent="0.25">
      <c r="B559" s="54">
        <v>41201</v>
      </c>
      <c r="C559" s="48">
        <v>0.6972222222222223</v>
      </c>
      <c r="D559" s="20" t="s">
        <v>62</v>
      </c>
    </row>
    <row r="560" spans="2:4" x14ac:dyDescent="0.25">
      <c r="B560" s="54">
        <v>41201</v>
      </c>
      <c r="C560" s="48">
        <v>0.70347222222222217</v>
      </c>
      <c r="D560" s="20" t="s">
        <v>63</v>
      </c>
    </row>
    <row r="561" spans="2:4" x14ac:dyDescent="0.25">
      <c r="B561" s="54">
        <v>41201</v>
      </c>
      <c r="C561" s="48">
        <v>0.7090277777777777</v>
      </c>
      <c r="D561" s="20" t="s">
        <v>62</v>
      </c>
    </row>
    <row r="562" spans="2:4" x14ac:dyDescent="0.25">
      <c r="B562" s="54">
        <v>41201</v>
      </c>
      <c r="C562" s="48">
        <v>0.71944444444444444</v>
      </c>
      <c r="D562" s="20" t="s">
        <v>62</v>
      </c>
    </row>
    <row r="563" spans="2:4" x14ac:dyDescent="0.25">
      <c r="B563" s="54">
        <v>41201</v>
      </c>
      <c r="C563" s="48">
        <v>0.72013888888888899</v>
      </c>
      <c r="D563" s="20" t="s">
        <v>62</v>
      </c>
    </row>
    <row r="564" spans="2:4" x14ac:dyDescent="0.25">
      <c r="B564" s="54">
        <v>41201</v>
      </c>
      <c r="C564" s="48">
        <v>0.74652777777777779</v>
      </c>
      <c r="D564" s="20" t="s">
        <v>62</v>
      </c>
    </row>
    <row r="565" spans="2:4" x14ac:dyDescent="0.25">
      <c r="B565" s="54">
        <v>41201</v>
      </c>
      <c r="C565" s="48">
        <v>0.77222222222222225</v>
      </c>
      <c r="D565" s="20" t="s">
        <v>62</v>
      </c>
    </row>
    <row r="566" spans="2:4" x14ac:dyDescent="0.25">
      <c r="B566" s="54">
        <v>41201</v>
      </c>
      <c r="C566" s="48">
        <v>0.79999999999999993</v>
      </c>
      <c r="D566" s="20" t="s">
        <v>63</v>
      </c>
    </row>
    <row r="567" spans="2:4" x14ac:dyDescent="0.25">
      <c r="B567" s="54">
        <v>41201</v>
      </c>
      <c r="C567" s="48">
        <v>0.82013888888888886</v>
      </c>
      <c r="D567" s="20" t="s">
        <v>62</v>
      </c>
    </row>
    <row r="568" spans="2:4" x14ac:dyDescent="0.25">
      <c r="B568" s="54">
        <v>41201</v>
      </c>
      <c r="C568" s="48">
        <v>0.84583333333333333</v>
      </c>
      <c r="D568" s="20" t="s">
        <v>62</v>
      </c>
    </row>
    <row r="569" spans="2:4" x14ac:dyDescent="0.25">
      <c r="B569" s="54">
        <v>41201</v>
      </c>
      <c r="C569" s="48">
        <v>0.875</v>
      </c>
      <c r="D569" s="20" t="s">
        <v>62</v>
      </c>
    </row>
    <row r="570" spans="2:4" x14ac:dyDescent="0.25">
      <c r="B570" s="54">
        <v>41201</v>
      </c>
      <c r="C570" s="48">
        <v>0.89374999999999993</v>
      </c>
      <c r="D570" s="20" t="s">
        <v>62</v>
      </c>
    </row>
    <row r="571" spans="2:4" x14ac:dyDescent="0.25">
      <c r="B571" s="54">
        <v>41202</v>
      </c>
      <c r="C571" s="48">
        <v>0.30416666666666664</v>
      </c>
      <c r="D571" s="20" t="s">
        <v>63</v>
      </c>
    </row>
    <row r="572" spans="2:4" x14ac:dyDescent="0.25">
      <c r="B572" s="54">
        <v>41202</v>
      </c>
      <c r="C572" s="48">
        <v>0.3576388888888889</v>
      </c>
      <c r="D572" s="20" t="s">
        <v>63</v>
      </c>
    </row>
    <row r="573" spans="2:4" x14ac:dyDescent="0.25">
      <c r="B573" s="54">
        <v>41202</v>
      </c>
      <c r="C573" s="48">
        <v>0.37013888888888885</v>
      </c>
      <c r="D573" s="20" t="s">
        <v>62</v>
      </c>
    </row>
    <row r="574" spans="2:4" x14ac:dyDescent="0.25">
      <c r="B574" s="54">
        <v>41202</v>
      </c>
      <c r="C574" s="48">
        <v>0.38472222222222219</v>
      </c>
      <c r="D574" s="20" t="s">
        <v>62</v>
      </c>
    </row>
    <row r="575" spans="2:4" x14ac:dyDescent="0.25">
      <c r="B575" s="54">
        <v>41202</v>
      </c>
      <c r="C575" s="48">
        <v>0.39374999999999999</v>
      </c>
      <c r="D575" s="20" t="s">
        <v>62</v>
      </c>
    </row>
    <row r="576" spans="2:4" x14ac:dyDescent="0.25">
      <c r="B576" s="54">
        <v>41202</v>
      </c>
      <c r="C576" s="48">
        <v>0.40902777777777777</v>
      </c>
      <c r="D576" s="20" t="s">
        <v>62</v>
      </c>
    </row>
    <row r="577" spans="2:4" x14ac:dyDescent="0.25">
      <c r="B577" s="54">
        <v>41202</v>
      </c>
      <c r="C577" s="48">
        <v>0.43263888888888885</v>
      </c>
      <c r="D577" s="20" t="s">
        <v>62</v>
      </c>
    </row>
    <row r="578" spans="2:4" x14ac:dyDescent="0.25">
      <c r="B578" s="54">
        <v>41202</v>
      </c>
      <c r="C578" s="48">
        <v>0.46458333333333335</v>
      </c>
      <c r="D578" s="20" t="s">
        <v>62</v>
      </c>
    </row>
    <row r="579" spans="2:4" x14ac:dyDescent="0.25">
      <c r="B579" s="54">
        <v>41202</v>
      </c>
      <c r="C579" s="48">
        <v>0.51041666666666663</v>
      </c>
      <c r="D579" s="20" t="s">
        <v>62</v>
      </c>
    </row>
    <row r="580" spans="2:4" x14ac:dyDescent="0.25">
      <c r="B580" s="54">
        <v>41202</v>
      </c>
      <c r="C580" s="48">
        <v>0.53611111111111109</v>
      </c>
      <c r="D580" s="20" t="s">
        <v>63</v>
      </c>
    </row>
    <row r="581" spans="2:4" x14ac:dyDescent="0.25">
      <c r="B581" s="54">
        <v>41202</v>
      </c>
      <c r="C581" s="48">
        <v>0.54375000000000007</v>
      </c>
      <c r="D581" s="20" t="s">
        <v>62</v>
      </c>
    </row>
    <row r="582" spans="2:4" x14ac:dyDescent="0.25">
      <c r="B582" s="54">
        <v>41202</v>
      </c>
      <c r="C582" s="48">
        <v>0.57708333333333328</v>
      </c>
      <c r="D582" s="20" t="s">
        <v>62</v>
      </c>
    </row>
    <row r="583" spans="2:4" x14ac:dyDescent="0.25">
      <c r="B583" s="54">
        <v>41202</v>
      </c>
      <c r="C583" s="48">
        <v>0.58124999999999993</v>
      </c>
      <c r="D583" s="20" t="s">
        <v>62</v>
      </c>
    </row>
    <row r="584" spans="2:4" x14ac:dyDescent="0.25">
      <c r="B584" s="54">
        <v>41202</v>
      </c>
      <c r="C584" s="48">
        <v>0.6118055555555556</v>
      </c>
      <c r="D584" s="20" t="s">
        <v>63</v>
      </c>
    </row>
    <row r="585" spans="2:4" x14ac:dyDescent="0.25">
      <c r="B585" s="54">
        <v>41202</v>
      </c>
      <c r="C585" s="48">
        <v>0.625</v>
      </c>
      <c r="D585" s="20" t="s">
        <v>63</v>
      </c>
    </row>
    <row r="586" spans="2:4" x14ac:dyDescent="0.25">
      <c r="B586" s="54">
        <v>41202</v>
      </c>
      <c r="C586" s="48">
        <v>0.6694444444444444</v>
      </c>
      <c r="D586" s="20" t="s">
        <v>62</v>
      </c>
    </row>
    <row r="587" spans="2:4" x14ac:dyDescent="0.25">
      <c r="B587" s="54">
        <v>41202</v>
      </c>
      <c r="C587" s="48">
        <v>0.72013888888888899</v>
      </c>
      <c r="D587" s="20" t="s">
        <v>62</v>
      </c>
    </row>
    <row r="588" spans="2:4" x14ac:dyDescent="0.25">
      <c r="B588" s="54">
        <v>41202</v>
      </c>
      <c r="C588" s="48">
        <v>0.75347222222222221</v>
      </c>
      <c r="D588" s="20" t="s">
        <v>62</v>
      </c>
    </row>
    <row r="589" spans="2:4" x14ac:dyDescent="0.25">
      <c r="B589" s="54">
        <v>41202</v>
      </c>
      <c r="C589" s="48">
        <v>0.76388888888888884</v>
      </c>
      <c r="D589" s="20" t="s">
        <v>62</v>
      </c>
    </row>
    <row r="590" spans="2:4" x14ac:dyDescent="0.25">
      <c r="B590" s="54">
        <v>41202</v>
      </c>
      <c r="C590" s="48">
        <v>0.7944444444444444</v>
      </c>
      <c r="D590" s="20" t="s">
        <v>62</v>
      </c>
    </row>
    <row r="591" spans="2:4" x14ac:dyDescent="0.25">
      <c r="B591" s="54">
        <v>41202</v>
      </c>
      <c r="C591" s="48">
        <v>0.79791666666666661</v>
      </c>
      <c r="D591" s="20" t="s">
        <v>63</v>
      </c>
    </row>
    <row r="592" spans="2:4" x14ac:dyDescent="0.25">
      <c r="B592" s="54">
        <v>41202</v>
      </c>
      <c r="C592" s="48">
        <v>0.79999999999999993</v>
      </c>
      <c r="D592" s="20" t="s">
        <v>62</v>
      </c>
    </row>
    <row r="593" spans="2:4" x14ac:dyDescent="0.25">
      <c r="B593" s="54">
        <v>41202</v>
      </c>
      <c r="C593" s="48">
        <v>0.86319444444444438</v>
      </c>
      <c r="D593" s="20" t="s">
        <v>63</v>
      </c>
    </row>
    <row r="594" spans="2:4" x14ac:dyDescent="0.25">
      <c r="B594" s="54">
        <v>41202</v>
      </c>
      <c r="C594" s="48">
        <v>0.87291666666666667</v>
      </c>
      <c r="D594" s="20" t="s">
        <v>63</v>
      </c>
    </row>
    <row r="595" spans="2:4" x14ac:dyDescent="0.25">
      <c r="B595" s="54">
        <v>41202</v>
      </c>
      <c r="C595" s="48">
        <v>0.87847222222222221</v>
      </c>
      <c r="D595" s="20" t="s">
        <v>62</v>
      </c>
    </row>
    <row r="596" spans="2:4" x14ac:dyDescent="0.25">
      <c r="B596" s="54">
        <v>41202</v>
      </c>
      <c r="C596" s="48">
        <v>0.88194444444444453</v>
      </c>
      <c r="D596" s="20" t="s">
        <v>62</v>
      </c>
    </row>
    <row r="597" spans="2:4" x14ac:dyDescent="0.25">
      <c r="B597" s="54">
        <v>41202</v>
      </c>
      <c r="C597" s="48">
        <v>0.8930555555555556</v>
      </c>
      <c r="D597" s="20" t="s">
        <v>62</v>
      </c>
    </row>
    <row r="598" spans="2:4" x14ac:dyDescent="0.25">
      <c r="B598" s="54">
        <v>41202</v>
      </c>
      <c r="C598" s="48">
        <v>0.90902777777777777</v>
      </c>
      <c r="D598" s="20" t="s">
        <v>62</v>
      </c>
    </row>
    <row r="599" spans="2:4" x14ac:dyDescent="0.25">
      <c r="B599" s="54">
        <v>41202</v>
      </c>
      <c r="C599" s="48">
        <v>0.92152777777777783</v>
      </c>
      <c r="D599" s="20" t="s">
        <v>62</v>
      </c>
    </row>
    <row r="600" spans="2:4" x14ac:dyDescent="0.25">
      <c r="B600" s="54">
        <v>41202</v>
      </c>
      <c r="C600" s="48">
        <v>0.96527777777777779</v>
      </c>
      <c r="D600" s="20" t="s">
        <v>62</v>
      </c>
    </row>
    <row r="601" spans="2:4" x14ac:dyDescent="0.25">
      <c r="B601" s="54">
        <v>41202</v>
      </c>
      <c r="C601" s="48">
        <v>0.96527777777777779</v>
      </c>
      <c r="D601" s="20" t="s">
        <v>62</v>
      </c>
    </row>
    <row r="602" spans="2:4" x14ac:dyDescent="0.25">
      <c r="B602" s="54">
        <v>41202</v>
      </c>
      <c r="C602" s="48">
        <v>0.98472222222222217</v>
      </c>
      <c r="D602" s="20" t="s">
        <v>62</v>
      </c>
    </row>
    <row r="603" spans="2:4" x14ac:dyDescent="0.25">
      <c r="B603" s="54">
        <v>41202</v>
      </c>
      <c r="C603" s="48">
        <v>0.98472222222222217</v>
      </c>
      <c r="D603" s="20" t="s">
        <v>62</v>
      </c>
    </row>
    <row r="604" spans="2:4" x14ac:dyDescent="0.25">
      <c r="B604" s="54">
        <v>41203</v>
      </c>
      <c r="C604" s="48">
        <v>0.33263888888888887</v>
      </c>
      <c r="D604" s="20" t="s">
        <v>63</v>
      </c>
    </row>
    <row r="605" spans="2:4" x14ac:dyDescent="0.25">
      <c r="B605" s="54">
        <v>41203</v>
      </c>
      <c r="C605" s="48">
        <v>0.33958333333333335</v>
      </c>
      <c r="D605" s="20" t="s">
        <v>62</v>
      </c>
    </row>
    <row r="606" spans="2:4" x14ac:dyDescent="0.25">
      <c r="B606" s="54">
        <v>41203</v>
      </c>
      <c r="C606" s="48">
        <v>0.40625</v>
      </c>
      <c r="D606" s="20" t="s">
        <v>62</v>
      </c>
    </row>
    <row r="607" spans="2:4" x14ac:dyDescent="0.25">
      <c r="B607" s="54">
        <v>41203</v>
      </c>
      <c r="C607" s="48">
        <v>0.41944444444444445</v>
      </c>
      <c r="D607" s="20" t="s">
        <v>62</v>
      </c>
    </row>
    <row r="608" spans="2:4" x14ac:dyDescent="0.25">
      <c r="B608" s="54">
        <v>41203</v>
      </c>
      <c r="C608" s="48">
        <v>0.44027777777777777</v>
      </c>
      <c r="D608" s="20" t="s">
        <v>62</v>
      </c>
    </row>
    <row r="609" spans="2:4" x14ac:dyDescent="0.25">
      <c r="B609" s="54">
        <v>41203</v>
      </c>
      <c r="C609" s="48">
        <v>0.47291666666666665</v>
      </c>
      <c r="D609" s="20" t="s">
        <v>62</v>
      </c>
    </row>
    <row r="610" spans="2:4" x14ac:dyDescent="0.25">
      <c r="B610" s="54">
        <v>41203</v>
      </c>
      <c r="C610" s="48">
        <v>0.4916666666666667</v>
      </c>
      <c r="D610" s="20" t="s">
        <v>62</v>
      </c>
    </row>
    <row r="611" spans="2:4" x14ac:dyDescent="0.25">
      <c r="B611" s="54">
        <v>41203</v>
      </c>
      <c r="C611" s="48">
        <v>0.49374999999999997</v>
      </c>
      <c r="D611" s="20" t="s">
        <v>62</v>
      </c>
    </row>
    <row r="612" spans="2:4" x14ac:dyDescent="0.25">
      <c r="B612" s="54">
        <v>41203</v>
      </c>
      <c r="C612" s="48">
        <v>0.4993055555555555</v>
      </c>
      <c r="D612" s="20" t="s">
        <v>62</v>
      </c>
    </row>
    <row r="613" spans="2:4" x14ac:dyDescent="0.25">
      <c r="B613" s="54">
        <v>41203</v>
      </c>
      <c r="C613" s="48">
        <v>0.50555555555555554</v>
      </c>
      <c r="D613" s="20" t="s">
        <v>62</v>
      </c>
    </row>
    <row r="614" spans="2:4" x14ac:dyDescent="0.25">
      <c r="B614" s="54">
        <v>41203</v>
      </c>
      <c r="C614" s="48">
        <v>0.53194444444444444</v>
      </c>
      <c r="D614" s="20" t="s">
        <v>62</v>
      </c>
    </row>
    <row r="615" spans="2:4" x14ac:dyDescent="0.25">
      <c r="B615" s="54">
        <v>41203</v>
      </c>
      <c r="C615" s="48">
        <v>0.55833333333333335</v>
      </c>
      <c r="D615" s="20" t="s">
        <v>63</v>
      </c>
    </row>
    <row r="616" spans="2:4" x14ac:dyDescent="0.25">
      <c r="B616" s="54">
        <v>41203</v>
      </c>
      <c r="C616" s="48">
        <v>0.59583333333333333</v>
      </c>
      <c r="D616" s="20" t="s">
        <v>62</v>
      </c>
    </row>
    <row r="617" spans="2:4" x14ac:dyDescent="0.25">
      <c r="B617" s="54">
        <v>41203</v>
      </c>
      <c r="C617" s="48">
        <v>0.59930555555555554</v>
      </c>
      <c r="D617" s="20" t="s">
        <v>63</v>
      </c>
    </row>
    <row r="618" spans="2:4" x14ac:dyDescent="0.25">
      <c r="B618" s="54">
        <v>41203</v>
      </c>
      <c r="C618" s="48">
        <v>0.61041666666666672</v>
      </c>
      <c r="D618" s="20" t="s">
        <v>62</v>
      </c>
    </row>
    <row r="619" spans="2:4" x14ac:dyDescent="0.25">
      <c r="B619" s="54">
        <v>41203</v>
      </c>
      <c r="C619" s="48">
        <v>0.61875000000000002</v>
      </c>
      <c r="D619" s="20" t="s">
        <v>62</v>
      </c>
    </row>
    <row r="620" spans="2:4" x14ac:dyDescent="0.25">
      <c r="B620" s="54">
        <v>41203</v>
      </c>
      <c r="C620" s="48">
        <v>0.65069444444444446</v>
      </c>
      <c r="D620" s="20" t="s">
        <v>62</v>
      </c>
    </row>
    <row r="621" spans="2:4" x14ac:dyDescent="0.25">
      <c r="B621" s="54">
        <v>41203</v>
      </c>
      <c r="C621" s="48">
        <v>0.68194444444444446</v>
      </c>
      <c r="D621" s="20" t="s">
        <v>62</v>
      </c>
    </row>
    <row r="622" spans="2:4" x14ac:dyDescent="0.25">
      <c r="B622" s="54">
        <v>41203</v>
      </c>
      <c r="C622" s="48">
        <v>0.71597222222222223</v>
      </c>
      <c r="D622" s="20" t="s">
        <v>63</v>
      </c>
    </row>
    <row r="623" spans="2:4" x14ac:dyDescent="0.25">
      <c r="B623" s="54">
        <v>41203</v>
      </c>
      <c r="C623" s="48">
        <v>0.75069444444444444</v>
      </c>
      <c r="D623" s="20" t="s">
        <v>62</v>
      </c>
    </row>
    <row r="624" spans="2:4" x14ac:dyDescent="0.25">
      <c r="B624" s="54">
        <v>41203</v>
      </c>
      <c r="C624" s="48">
        <v>0.80069444444444438</v>
      </c>
      <c r="D624" s="20" t="s">
        <v>62</v>
      </c>
    </row>
    <row r="625" spans="2:4" x14ac:dyDescent="0.25">
      <c r="B625" s="54">
        <v>41203</v>
      </c>
      <c r="C625" s="48">
        <v>0.80763888888888891</v>
      </c>
      <c r="D625" s="20" t="s">
        <v>63</v>
      </c>
    </row>
    <row r="626" spans="2:4" x14ac:dyDescent="0.25">
      <c r="B626" s="54">
        <v>41203</v>
      </c>
      <c r="C626" s="48">
        <v>0.86249999999999993</v>
      </c>
      <c r="D626" s="20" t="s">
        <v>62</v>
      </c>
    </row>
    <row r="627" spans="2:4" x14ac:dyDescent="0.25">
      <c r="B627" s="54">
        <v>41203</v>
      </c>
      <c r="C627" s="48">
        <v>0.86805555555555547</v>
      </c>
      <c r="D627" s="20" t="s">
        <v>62</v>
      </c>
    </row>
    <row r="628" spans="2:4" x14ac:dyDescent="0.25">
      <c r="B628" s="54">
        <v>41203</v>
      </c>
      <c r="C628" s="48">
        <v>0.90625</v>
      </c>
      <c r="D628" s="20" t="s">
        <v>62</v>
      </c>
    </row>
    <row r="629" spans="2:4" x14ac:dyDescent="0.25">
      <c r="B629" s="54">
        <v>41204</v>
      </c>
      <c r="C629" s="48">
        <v>0.47013888888888888</v>
      </c>
      <c r="D629" s="20" t="s">
        <v>63</v>
      </c>
    </row>
    <row r="630" spans="2:4" x14ac:dyDescent="0.25">
      <c r="B630" s="54">
        <v>41204</v>
      </c>
      <c r="C630" s="48">
        <v>0.5395833333333333</v>
      </c>
      <c r="D630" s="20" t="s">
        <v>63</v>
      </c>
    </row>
    <row r="631" spans="2:4" x14ac:dyDescent="0.25">
      <c r="B631" s="54">
        <v>41204</v>
      </c>
      <c r="C631" s="48">
        <v>0.54861111111111105</v>
      </c>
      <c r="D631" s="20" t="s">
        <v>62</v>
      </c>
    </row>
    <row r="632" spans="2:4" x14ac:dyDescent="0.25">
      <c r="B632" s="54">
        <v>41204</v>
      </c>
      <c r="C632" s="48">
        <v>0.55138888888888882</v>
      </c>
      <c r="D632" s="20" t="s">
        <v>62</v>
      </c>
    </row>
    <row r="633" spans="2:4" x14ac:dyDescent="0.25">
      <c r="B633" s="54">
        <v>41204</v>
      </c>
      <c r="C633" s="48">
        <v>0.57708333333333328</v>
      </c>
      <c r="D633" s="20" t="s">
        <v>62</v>
      </c>
    </row>
    <row r="634" spans="2:4" x14ac:dyDescent="0.25">
      <c r="B634" s="54">
        <v>41204</v>
      </c>
      <c r="C634" s="48">
        <v>0.57916666666666672</v>
      </c>
      <c r="D634" s="20" t="s">
        <v>62</v>
      </c>
    </row>
    <row r="635" spans="2:4" x14ac:dyDescent="0.25">
      <c r="B635" s="54">
        <v>41204</v>
      </c>
      <c r="C635" s="48">
        <v>0.61944444444444446</v>
      </c>
      <c r="D635" s="20" t="s">
        <v>63</v>
      </c>
    </row>
    <row r="636" spans="2:4" x14ac:dyDescent="0.25">
      <c r="B636" s="54">
        <v>41204</v>
      </c>
      <c r="C636" s="48">
        <v>0.62430555555555556</v>
      </c>
      <c r="D636" s="20" t="s">
        <v>62</v>
      </c>
    </row>
    <row r="637" spans="2:4" x14ac:dyDescent="0.25">
      <c r="B637" s="54">
        <v>41204</v>
      </c>
      <c r="C637" s="48">
        <v>0.62638888888888888</v>
      </c>
      <c r="D637" s="20" t="s">
        <v>62</v>
      </c>
    </row>
    <row r="638" spans="2:4" x14ac:dyDescent="0.25">
      <c r="B638" s="54">
        <v>41204</v>
      </c>
      <c r="C638" s="48">
        <v>0.65</v>
      </c>
      <c r="D638" s="20" t="s">
        <v>62</v>
      </c>
    </row>
    <row r="639" spans="2:4" x14ac:dyDescent="0.25">
      <c r="B639" s="54">
        <v>41204</v>
      </c>
      <c r="C639" s="48">
        <v>0.6694444444444444</v>
      </c>
      <c r="D639" s="20" t="s">
        <v>62</v>
      </c>
    </row>
    <row r="640" spans="2:4" x14ac:dyDescent="0.25">
      <c r="B640" s="54">
        <v>41204</v>
      </c>
      <c r="C640" s="48">
        <v>0.7055555555555556</v>
      </c>
      <c r="D640" s="20" t="s">
        <v>62</v>
      </c>
    </row>
    <row r="641" spans="2:4" x14ac:dyDescent="0.25">
      <c r="B641" s="54">
        <v>41204</v>
      </c>
      <c r="C641" s="48">
        <v>0.7104166666666667</v>
      </c>
      <c r="D641" s="20" t="s">
        <v>62</v>
      </c>
    </row>
    <row r="642" spans="2:4" x14ac:dyDescent="0.25">
      <c r="B642" s="54">
        <v>41204</v>
      </c>
      <c r="C642" s="48">
        <v>0.76111111111111107</v>
      </c>
      <c r="D642" s="20" t="s">
        <v>62</v>
      </c>
    </row>
    <row r="643" spans="2:4" x14ac:dyDescent="0.25">
      <c r="B643" s="54">
        <v>41204</v>
      </c>
      <c r="C643" s="48">
        <v>0.76250000000000007</v>
      </c>
      <c r="D643" s="20" t="s">
        <v>62</v>
      </c>
    </row>
    <row r="644" spans="2:4" x14ac:dyDescent="0.25">
      <c r="B644" s="54">
        <v>41204</v>
      </c>
      <c r="C644" s="48">
        <v>0.76527777777777783</v>
      </c>
      <c r="D644" s="20" t="s">
        <v>62</v>
      </c>
    </row>
    <row r="645" spans="2:4" x14ac:dyDescent="0.25">
      <c r="B645" s="54">
        <v>41204</v>
      </c>
      <c r="C645" s="48">
        <v>0.78888888888888886</v>
      </c>
      <c r="D645" s="20" t="s">
        <v>62</v>
      </c>
    </row>
    <row r="646" spans="2:4" x14ac:dyDescent="0.25">
      <c r="B646" s="54">
        <v>41204</v>
      </c>
      <c r="C646" s="48">
        <v>0.80486111111111114</v>
      </c>
      <c r="D646" s="20" t="s">
        <v>62</v>
      </c>
    </row>
    <row r="647" spans="2:4" x14ac:dyDescent="0.25">
      <c r="B647" s="54">
        <v>41205</v>
      </c>
      <c r="C647" s="48">
        <v>0.38611111111111113</v>
      </c>
      <c r="D647" s="20" t="s">
        <v>62</v>
      </c>
    </row>
    <row r="648" spans="2:4" x14ac:dyDescent="0.25">
      <c r="B648" s="54">
        <v>41205</v>
      </c>
      <c r="C648" s="48">
        <v>0.44027777777777777</v>
      </c>
      <c r="D648" s="20" t="s">
        <v>63</v>
      </c>
    </row>
    <row r="649" spans="2:4" x14ac:dyDescent="0.25">
      <c r="B649" s="54">
        <v>41205</v>
      </c>
      <c r="C649" s="48">
        <v>0.49305555555555558</v>
      </c>
      <c r="D649" s="20" t="s">
        <v>62</v>
      </c>
    </row>
    <row r="650" spans="2:4" x14ac:dyDescent="0.25">
      <c r="B650" s="54">
        <v>41205</v>
      </c>
      <c r="C650" s="48">
        <v>0.49583333333333335</v>
      </c>
      <c r="D650" s="20" t="s">
        <v>62</v>
      </c>
    </row>
    <row r="651" spans="2:4" x14ac:dyDescent="0.25">
      <c r="B651" s="54">
        <v>41205</v>
      </c>
      <c r="C651" s="48">
        <v>0.52708333333333335</v>
      </c>
      <c r="D651" s="20" t="s">
        <v>62</v>
      </c>
    </row>
    <row r="652" spans="2:4" x14ac:dyDescent="0.25">
      <c r="B652" s="54">
        <v>41205</v>
      </c>
      <c r="C652" s="48">
        <v>0.55486111111111114</v>
      </c>
      <c r="D652" s="20" t="s">
        <v>62</v>
      </c>
    </row>
    <row r="653" spans="2:4" x14ac:dyDescent="0.25">
      <c r="B653" s="54">
        <v>41205</v>
      </c>
      <c r="C653" s="48">
        <v>0.58333333333333337</v>
      </c>
      <c r="D653" s="20" t="s">
        <v>63</v>
      </c>
    </row>
    <row r="654" spans="2:4" x14ac:dyDescent="0.25">
      <c r="B654" s="54">
        <v>41205</v>
      </c>
      <c r="C654" s="48">
        <v>0.58888888888888891</v>
      </c>
      <c r="D654" s="20" t="s">
        <v>62</v>
      </c>
    </row>
    <row r="655" spans="2:4" x14ac:dyDescent="0.25">
      <c r="B655" s="54">
        <v>41205</v>
      </c>
      <c r="C655" s="48">
        <v>0.58888888888888891</v>
      </c>
      <c r="D655" s="20" t="s">
        <v>63</v>
      </c>
    </row>
    <row r="656" spans="2:4" x14ac:dyDescent="0.25">
      <c r="B656" s="54">
        <v>41205</v>
      </c>
      <c r="C656" s="48">
        <v>0.6020833333333333</v>
      </c>
      <c r="D656" s="20" t="s">
        <v>62</v>
      </c>
    </row>
    <row r="657" spans="2:4" x14ac:dyDescent="0.25">
      <c r="B657" s="54">
        <v>41205</v>
      </c>
      <c r="C657" s="48">
        <v>0.62638888888888888</v>
      </c>
      <c r="D657" s="20" t="s">
        <v>62</v>
      </c>
    </row>
    <row r="658" spans="2:4" x14ac:dyDescent="0.25">
      <c r="B658" s="54">
        <v>41205</v>
      </c>
      <c r="C658" s="48">
        <v>0.62708333333333333</v>
      </c>
      <c r="D658" s="20" t="s">
        <v>62</v>
      </c>
    </row>
    <row r="659" spans="2:4" x14ac:dyDescent="0.25">
      <c r="B659" s="54">
        <v>41205</v>
      </c>
      <c r="C659" s="48">
        <v>0.63611111111111118</v>
      </c>
      <c r="D659" s="20" t="s">
        <v>63</v>
      </c>
    </row>
    <row r="660" spans="2:4" x14ac:dyDescent="0.25">
      <c r="B660" s="54">
        <v>41205</v>
      </c>
      <c r="C660" s="48">
        <v>0.65833333333333333</v>
      </c>
      <c r="D660" s="20" t="s">
        <v>62</v>
      </c>
    </row>
    <row r="661" spans="2:4" x14ac:dyDescent="0.25">
      <c r="B661" s="54">
        <v>41205</v>
      </c>
      <c r="C661" s="48">
        <v>0.6645833333333333</v>
      </c>
      <c r="D661" s="20" t="s">
        <v>62</v>
      </c>
    </row>
    <row r="662" spans="2:4" x14ac:dyDescent="0.25">
      <c r="B662" s="54">
        <v>41205</v>
      </c>
      <c r="C662" s="48">
        <v>0.66527777777777775</v>
      </c>
      <c r="D662" s="20" t="s">
        <v>62</v>
      </c>
    </row>
    <row r="663" spans="2:4" x14ac:dyDescent="0.25">
      <c r="B663" s="54">
        <v>41206</v>
      </c>
      <c r="C663" s="48">
        <v>0.35902777777777778</v>
      </c>
      <c r="D663" s="20" t="s">
        <v>62</v>
      </c>
    </row>
    <row r="664" spans="2:4" x14ac:dyDescent="0.25">
      <c r="B664" s="54">
        <v>41206</v>
      </c>
      <c r="C664" s="48">
        <v>0.39027777777777778</v>
      </c>
      <c r="D664" s="20" t="s">
        <v>62</v>
      </c>
    </row>
    <row r="665" spans="2:4" x14ac:dyDescent="0.25">
      <c r="B665" s="54">
        <v>41206</v>
      </c>
      <c r="C665" s="48">
        <v>0.42152777777777778</v>
      </c>
      <c r="D665" s="20" t="s">
        <v>62</v>
      </c>
    </row>
    <row r="666" spans="2:4" x14ac:dyDescent="0.25">
      <c r="B666" s="54">
        <v>41206</v>
      </c>
      <c r="C666" s="48">
        <v>0.45</v>
      </c>
      <c r="D666" s="20" t="s">
        <v>63</v>
      </c>
    </row>
    <row r="667" spans="2:4" x14ac:dyDescent="0.25">
      <c r="B667" s="54">
        <v>41206</v>
      </c>
      <c r="C667" s="48">
        <v>0.48333333333333334</v>
      </c>
      <c r="D667" s="20" t="s">
        <v>63</v>
      </c>
    </row>
    <row r="668" spans="2:4" x14ac:dyDescent="0.25">
      <c r="B668" s="54">
        <v>41206</v>
      </c>
      <c r="C668" s="48">
        <v>0.53680555555555554</v>
      </c>
      <c r="D668" s="20" t="s">
        <v>62</v>
      </c>
    </row>
    <row r="669" spans="2:4" x14ac:dyDescent="0.25">
      <c r="B669" s="54">
        <v>41206</v>
      </c>
      <c r="C669" s="48">
        <v>0.55069444444444449</v>
      </c>
      <c r="D669" s="20" t="s">
        <v>63</v>
      </c>
    </row>
    <row r="670" spans="2:4" x14ac:dyDescent="0.25">
      <c r="B670" s="54">
        <v>41206</v>
      </c>
      <c r="C670" s="48">
        <v>0.56458333333333333</v>
      </c>
      <c r="D670" s="20" t="s">
        <v>62</v>
      </c>
    </row>
    <row r="671" spans="2:4" x14ac:dyDescent="0.25">
      <c r="B671" s="54">
        <v>41206</v>
      </c>
      <c r="C671" s="48">
        <v>0.59236111111111112</v>
      </c>
      <c r="D671" s="20" t="s">
        <v>62</v>
      </c>
    </row>
    <row r="672" spans="2:4" x14ac:dyDescent="0.25">
      <c r="B672" s="54">
        <v>41206</v>
      </c>
      <c r="C672" s="48">
        <v>0.62361111111111112</v>
      </c>
      <c r="D672" s="20" t="s">
        <v>63</v>
      </c>
    </row>
    <row r="673" spans="2:4" x14ac:dyDescent="0.25">
      <c r="B673" s="54">
        <v>41206</v>
      </c>
      <c r="C673" s="48">
        <v>0.64374999999999993</v>
      </c>
      <c r="D673" s="20" t="s">
        <v>63</v>
      </c>
    </row>
    <row r="674" spans="2:4" x14ac:dyDescent="0.25">
      <c r="B674" s="54">
        <v>41206</v>
      </c>
      <c r="C674" s="48">
        <v>0.65347222222222223</v>
      </c>
      <c r="D674" s="20" t="s">
        <v>63</v>
      </c>
    </row>
    <row r="675" spans="2:4" x14ac:dyDescent="0.25">
      <c r="B675" s="54">
        <v>41206</v>
      </c>
      <c r="C675" s="48">
        <v>0.65972222222222221</v>
      </c>
      <c r="D675" s="20" t="s">
        <v>62</v>
      </c>
    </row>
    <row r="676" spans="2:4" x14ac:dyDescent="0.25">
      <c r="B676" s="54">
        <v>41206</v>
      </c>
      <c r="C676" s="48">
        <v>0.66319444444444442</v>
      </c>
      <c r="D676" s="20" t="s">
        <v>62</v>
      </c>
    </row>
    <row r="677" spans="2:4" x14ac:dyDescent="0.25">
      <c r="B677" s="54">
        <v>41206</v>
      </c>
      <c r="C677" s="48">
        <v>0.67847222222222225</v>
      </c>
      <c r="D677" s="20" t="s">
        <v>62</v>
      </c>
    </row>
    <row r="678" spans="2:4" x14ac:dyDescent="0.25">
      <c r="B678" s="54">
        <v>41206</v>
      </c>
      <c r="C678" s="48">
        <v>0.68055555555555547</v>
      </c>
      <c r="D678" s="20" t="s">
        <v>62</v>
      </c>
    </row>
    <row r="679" spans="2:4" x14ac:dyDescent="0.25">
      <c r="B679" s="54">
        <v>41206</v>
      </c>
      <c r="C679" s="48">
        <v>0.68263888888888891</v>
      </c>
      <c r="D679" s="20" t="s">
        <v>62</v>
      </c>
    </row>
    <row r="680" spans="2:4" x14ac:dyDescent="0.25">
      <c r="B680" s="54">
        <v>41206</v>
      </c>
      <c r="C680" s="48">
        <v>0.70763888888888893</v>
      </c>
      <c r="D680" s="20" t="s">
        <v>63</v>
      </c>
    </row>
    <row r="681" spans="2:4" x14ac:dyDescent="0.25">
      <c r="B681" s="54">
        <v>41206</v>
      </c>
      <c r="C681" s="48">
        <v>0.72152777777777777</v>
      </c>
      <c r="D681" s="20" t="s">
        <v>62</v>
      </c>
    </row>
    <row r="682" spans="2:4" x14ac:dyDescent="0.25">
      <c r="B682" s="54">
        <v>41206</v>
      </c>
      <c r="C682" s="48">
        <v>0.7270833333333333</v>
      </c>
      <c r="D682" s="20" t="s">
        <v>62</v>
      </c>
    </row>
    <row r="683" spans="2:4" x14ac:dyDescent="0.25">
      <c r="B683" s="54">
        <v>41206</v>
      </c>
      <c r="C683" s="48">
        <v>0.78055555555555556</v>
      </c>
      <c r="D683" s="20" t="s">
        <v>62</v>
      </c>
    </row>
    <row r="684" spans="2:4" x14ac:dyDescent="0.25">
      <c r="B684" s="54">
        <v>41206</v>
      </c>
      <c r="C684" s="48">
        <v>0.82361111111111107</v>
      </c>
      <c r="D684" s="20" t="s">
        <v>62</v>
      </c>
    </row>
    <row r="685" spans="2:4" x14ac:dyDescent="0.25">
      <c r="B685" s="54">
        <v>41206</v>
      </c>
      <c r="C685" s="48">
        <v>0.84722222222222221</v>
      </c>
      <c r="D685" s="20" t="s">
        <v>63</v>
      </c>
    </row>
    <row r="686" spans="2:4" x14ac:dyDescent="0.25">
      <c r="B686" s="54">
        <v>41206</v>
      </c>
      <c r="C686" s="48">
        <v>0.89236111111111116</v>
      </c>
      <c r="D686" s="20" t="s">
        <v>63</v>
      </c>
    </row>
    <row r="687" spans="2:4" x14ac:dyDescent="0.25">
      <c r="B687" s="54">
        <v>41206</v>
      </c>
      <c r="C687" s="48">
        <v>0.92708333333333337</v>
      </c>
      <c r="D687" s="20" t="s">
        <v>62</v>
      </c>
    </row>
    <row r="688" spans="2:4" x14ac:dyDescent="0.25">
      <c r="B688" s="54">
        <v>41206</v>
      </c>
      <c r="C688" s="48">
        <v>0.92847222222222225</v>
      </c>
      <c r="D688" s="20" t="s">
        <v>62</v>
      </c>
    </row>
    <row r="689" spans="2:4" x14ac:dyDescent="0.25">
      <c r="B689" s="54">
        <v>41206</v>
      </c>
      <c r="C689" s="48">
        <v>0.92847222222222225</v>
      </c>
      <c r="D689" s="20" t="s">
        <v>63</v>
      </c>
    </row>
    <row r="690" spans="2:4" x14ac:dyDescent="0.25">
      <c r="B690" s="54">
        <v>41206</v>
      </c>
      <c r="C690" s="48">
        <v>0.94166666666666676</v>
      </c>
      <c r="D690" s="20" t="s">
        <v>63</v>
      </c>
    </row>
    <row r="691" spans="2:4" x14ac:dyDescent="0.25">
      <c r="B691" s="54">
        <v>41206</v>
      </c>
      <c r="C691" s="48">
        <v>0.94166666666666676</v>
      </c>
      <c r="D691" s="20" t="s">
        <v>62</v>
      </c>
    </row>
    <row r="692" spans="2:4" x14ac:dyDescent="0.25">
      <c r="B692" s="54">
        <v>41206</v>
      </c>
      <c r="C692" s="48">
        <v>0.94236111111111109</v>
      </c>
      <c r="D692" s="20" t="s">
        <v>62</v>
      </c>
    </row>
    <row r="693" spans="2:4" x14ac:dyDescent="0.25">
      <c r="B693" s="54">
        <v>41206</v>
      </c>
      <c r="C693" s="48">
        <v>0.94236111111111109</v>
      </c>
      <c r="D693" s="20" t="s">
        <v>62</v>
      </c>
    </row>
    <row r="694" spans="2:4" x14ac:dyDescent="0.25">
      <c r="B694" s="54">
        <v>41207</v>
      </c>
      <c r="C694" s="48">
        <v>0.41597222222222219</v>
      </c>
      <c r="D694" s="20" t="s">
        <v>62</v>
      </c>
    </row>
    <row r="695" spans="2:4" x14ac:dyDescent="0.25">
      <c r="B695" s="54">
        <v>41207</v>
      </c>
      <c r="C695" s="48">
        <v>0.42291666666666666</v>
      </c>
      <c r="D695" s="20" t="s">
        <v>63</v>
      </c>
    </row>
    <row r="696" spans="2:4" x14ac:dyDescent="0.25">
      <c r="B696" s="54">
        <v>41207</v>
      </c>
      <c r="C696" s="48">
        <v>0.44375000000000003</v>
      </c>
      <c r="D696" s="20" t="s">
        <v>62</v>
      </c>
    </row>
    <row r="697" spans="2:4" x14ac:dyDescent="0.25">
      <c r="B697" s="54">
        <v>41207</v>
      </c>
      <c r="C697" s="48">
        <v>0.4680555555555555</v>
      </c>
      <c r="D697" s="20" t="s">
        <v>62</v>
      </c>
    </row>
    <row r="698" spans="2:4" x14ac:dyDescent="0.25">
      <c r="B698" s="54">
        <v>41207</v>
      </c>
      <c r="C698" s="48">
        <v>0.5</v>
      </c>
      <c r="D698" s="20" t="s">
        <v>62</v>
      </c>
    </row>
    <row r="699" spans="2:4" x14ac:dyDescent="0.25">
      <c r="B699" s="54">
        <v>41207</v>
      </c>
      <c r="C699" s="48">
        <v>0.50624999999999998</v>
      </c>
      <c r="D699" s="20" t="s">
        <v>62</v>
      </c>
    </row>
    <row r="700" spans="2:4" x14ac:dyDescent="0.25">
      <c r="B700" s="54">
        <v>41207</v>
      </c>
      <c r="C700" s="48">
        <v>0.51458333333333328</v>
      </c>
      <c r="D700" s="20" t="s">
        <v>62</v>
      </c>
    </row>
    <row r="701" spans="2:4" x14ac:dyDescent="0.25">
      <c r="B701" s="54">
        <v>41207</v>
      </c>
      <c r="C701" s="48">
        <v>0.5444444444444444</v>
      </c>
      <c r="D701" s="20" t="s">
        <v>62</v>
      </c>
    </row>
    <row r="702" spans="2:4" x14ac:dyDescent="0.25">
      <c r="B702" s="54">
        <v>41207</v>
      </c>
      <c r="C702" s="48">
        <v>0.56597222222222221</v>
      </c>
      <c r="D702" s="20" t="s">
        <v>62</v>
      </c>
    </row>
    <row r="703" spans="2:4" x14ac:dyDescent="0.25">
      <c r="B703" s="54">
        <v>41207</v>
      </c>
      <c r="C703" s="48">
        <v>0.59652777777777777</v>
      </c>
      <c r="D703" s="20" t="s">
        <v>62</v>
      </c>
    </row>
    <row r="704" spans="2:4" x14ac:dyDescent="0.25">
      <c r="B704" s="54">
        <v>41207</v>
      </c>
      <c r="C704" s="48">
        <v>0.64722222222222225</v>
      </c>
      <c r="D704" s="20" t="s">
        <v>62</v>
      </c>
    </row>
    <row r="705" spans="2:4" x14ac:dyDescent="0.25">
      <c r="B705" s="54">
        <v>41207</v>
      </c>
      <c r="C705" s="48">
        <v>0.66666666666666663</v>
      </c>
      <c r="D705" s="20" t="s">
        <v>63</v>
      </c>
    </row>
    <row r="706" spans="2:4" x14ac:dyDescent="0.25">
      <c r="B706" s="54">
        <v>41207</v>
      </c>
      <c r="C706" s="48">
        <v>0.7368055555555556</v>
      </c>
      <c r="D706" s="20" t="s">
        <v>62</v>
      </c>
    </row>
    <row r="707" spans="2:4" x14ac:dyDescent="0.25">
      <c r="B707" s="54">
        <v>41207</v>
      </c>
      <c r="C707" s="48">
        <v>0.77986111111111101</v>
      </c>
      <c r="D707" s="20" t="s">
        <v>62</v>
      </c>
    </row>
    <row r="708" spans="2:4" x14ac:dyDescent="0.25">
      <c r="B708" s="54">
        <v>41207</v>
      </c>
      <c r="C708" s="48">
        <v>0.7909722222222223</v>
      </c>
      <c r="D708" s="20" t="s">
        <v>62</v>
      </c>
    </row>
    <row r="709" spans="2:4" x14ac:dyDescent="0.25">
      <c r="B709" s="54">
        <v>41207</v>
      </c>
      <c r="C709" s="48">
        <v>0.82430555555555562</v>
      </c>
      <c r="D709" s="20" t="s">
        <v>63</v>
      </c>
    </row>
    <row r="710" spans="2:4" x14ac:dyDescent="0.25">
      <c r="B710" s="54">
        <v>41207</v>
      </c>
      <c r="C710" s="48">
        <v>0.85277777777777775</v>
      </c>
      <c r="D710" s="20" t="s">
        <v>62</v>
      </c>
    </row>
    <row r="711" spans="2:4" x14ac:dyDescent="0.25">
      <c r="B711" s="54">
        <v>41207</v>
      </c>
      <c r="C711" s="48">
        <v>0.85277777777777775</v>
      </c>
      <c r="D711" s="20" t="s">
        <v>62</v>
      </c>
    </row>
    <row r="712" spans="2:4" x14ac:dyDescent="0.25">
      <c r="B712" s="54">
        <v>41207</v>
      </c>
      <c r="C712" s="48">
        <v>0.85277777777777775</v>
      </c>
      <c r="D712" s="20" t="s">
        <v>62</v>
      </c>
    </row>
    <row r="713" spans="2:4" x14ac:dyDescent="0.25">
      <c r="B713" s="54">
        <v>41207</v>
      </c>
      <c r="C713" s="48">
        <v>0.85416666666666663</v>
      </c>
      <c r="D713" s="20" t="s">
        <v>62</v>
      </c>
    </row>
    <row r="714" spans="2:4" x14ac:dyDescent="0.25">
      <c r="B714" s="54">
        <v>41207</v>
      </c>
      <c r="C714" s="48">
        <v>0.85416666666666663</v>
      </c>
      <c r="D714" s="20" t="s">
        <v>63</v>
      </c>
    </row>
    <row r="715" spans="2:4" x14ac:dyDescent="0.25">
      <c r="B715" s="54">
        <v>41207</v>
      </c>
      <c r="C715" s="48">
        <v>0.85416666666666663</v>
      </c>
      <c r="D715" s="20" t="s">
        <v>62</v>
      </c>
    </row>
    <row r="716" spans="2:4" x14ac:dyDescent="0.25">
      <c r="B716" s="54">
        <v>41207</v>
      </c>
      <c r="C716" s="48">
        <v>0.86875000000000002</v>
      </c>
      <c r="D716" s="20" t="s">
        <v>62</v>
      </c>
    </row>
    <row r="717" spans="2:4" x14ac:dyDescent="0.25">
      <c r="B717" s="54">
        <v>41207</v>
      </c>
      <c r="C717" s="48">
        <v>0.86875000000000002</v>
      </c>
      <c r="D717" s="20" t="s">
        <v>62</v>
      </c>
    </row>
    <row r="718" spans="2:4" x14ac:dyDescent="0.25">
      <c r="B718" s="54">
        <v>41207</v>
      </c>
      <c r="C718" s="48">
        <v>0.86875000000000002</v>
      </c>
      <c r="D718" s="20" t="s">
        <v>62</v>
      </c>
    </row>
    <row r="719" spans="2:4" x14ac:dyDescent="0.25">
      <c r="B719" s="54">
        <v>41207</v>
      </c>
      <c r="C719" s="48">
        <v>0.89930555555555547</v>
      </c>
      <c r="D719" s="20" t="s">
        <v>62</v>
      </c>
    </row>
    <row r="720" spans="2:4" x14ac:dyDescent="0.25">
      <c r="B720" s="54">
        <v>41207</v>
      </c>
      <c r="C720" s="48">
        <v>0.89930555555555547</v>
      </c>
      <c r="D720" s="20" t="s">
        <v>63</v>
      </c>
    </row>
    <row r="721" spans="2:4" x14ac:dyDescent="0.25">
      <c r="B721" s="54">
        <v>41207</v>
      </c>
      <c r="C721" s="48">
        <v>0.89930555555555547</v>
      </c>
      <c r="D721" s="20" t="s">
        <v>62</v>
      </c>
    </row>
    <row r="722" spans="2:4" x14ac:dyDescent="0.25">
      <c r="B722" s="54">
        <v>41207</v>
      </c>
      <c r="C722" s="48">
        <v>0.94513888888888886</v>
      </c>
      <c r="D722" s="20" t="s">
        <v>63</v>
      </c>
    </row>
    <row r="723" spans="2:4" x14ac:dyDescent="0.25">
      <c r="B723" s="54">
        <v>41207</v>
      </c>
      <c r="C723" s="48">
        <v>0.94513888888888886</v>
      </c>
      <c r="D723" s="20" t="s">
        <v>62</v>
      </c>
    </row>
    <row r="724" spans="2:4" x14ac:dyDescent="0.25">
      <c r="B724" s="54">
        <v>41207</v>
      </c>
      <c r="C724" s="48">
        <v>0.94513888888888886</v>
      </c>
      <c r="D724" s="20" t="s">
        <v>62</v>
      </c>
    </row>
    <row r="725" spans="2:4" x14ac:dyDescent="0.25">
      <c r="B725" s="54">
        <v>41207</v>
      </c>
      <c r="C725" s="48">
        <v>0.96458333333333324</v>
      </c>
      <c r="D725" s="20" t="s">
        <v>62</v>
      </c>
    </row>
    <row r="726" spans="2:4" x14ac:dyDescent="0.25">
      <c r="B726" s="54">
        <v>41207</v>
      </c>
      <c r="C726" s="48">
        <v>0.96458333333333324</v>
      </c>
      <c r="D726" s="20" t="s">
        <v>62</v>
      </c>
    </row>
    <row r="727" spans="2:4" x14ac:dyDescent="0.25">
      <c r="B727" s="54">
        <v>41207</v>
      </c>
      <c r="C727" s="48">
        <v>0.97569444444444453</v>
      </c>
      <c r="D727" s="20" t="s">
        <v>62</v>
      </c>
    </row>
    <row r="728" spans="2:4" x14ac:dyDescent="0.25">
      <c r="B728" s="54">
        <v>41207</v>
      </c>
      <c r="C728" s="48">
        <v>0.97777777777777775</v>
      </c>
      <c r="D728" s="20" t="s">
        <v>62</v>
      </c>
    </row>
    <row r="729" spans="2:4" x14ac:dyDescent="0.25">
      <c r="B729" s="54">
        <v>41207</v>
      </c>
      <c r="C729" s="48">
        <v>0.97777777777777775</v>
      </c>
      <c r="D729" s="20" t="s">
        <v>62</v>
      </c>
    </row>
    <row r="730" spans="2:4" x14ac:dyDescent="0.25">
      <c r="B730" s="54">
        <v>41207</v>
      </c>
      <c r="C730" s="48">
        <v>0.98055555555555562</v>
      </c>
      <c r="D730" s="20" t="s">
        <v>62</v>
      </c>
    </row>
    <row r="731" spans="2:4" x14ac:dyDescent="0.25">
      <c r="B731" s="54">
        <v>41207</v>
      </c>
      <c r="C731" s="48">
        <v>0.98055555555555562</v>
      </c>
      <c r="D731" s="20" t="s">
        <v>63</v>
      </c>
    </row>
    <row r="732" spans="2:4" x14ac:dyDescent="0.25">
      <c r="B732" s="54">
        <v>41208</v>
      </c>
      <c r="C732" s="48">
        <v>0.43263888888888885</v>
      </c>
      <c r="D732" s="20" t="s">
        <v>62</v>
      </c>
    </row>
    <row r="733" spans="2:4" x14ac:dyDescent="0.25">
      <c r="B733" s="54">
        <v>41208</v>
      </c>
      <c r="C733" s="48">
        <v>0.4826388888888889</v>
      </c>
      <c r="D733" s="20" t="s">
        <v>62</v>
      </c>
    </row>
    <row r="734" spans="2:4" x14ac:dyDescent="0.25">
      <c r="B734" s="54">
        <v>41208</v>
      </c>
      <c r="C734" s="48">
        <v>0.53472222222222221</v>
      </c>
      <c r="D734" s="20" t="s">
        <v>62</v>
      </c>
    </row>
    <row r="735" spans="2:4" x14ac:dyDescent="0.25">
      <c r="B735" s="54">
        <v>41208</v>
      </c>
      <c r="C735" s="48">
        <v>0.53749999999999998</v>
      </c>
      <c r="D735" s="20" t="s">
        <v>62</v>
      </c>
    </row>
    <row r="736" spans="2:4" x14ac:dyDescent="0.25">
      <c r="B736" s="54">
        <v>41208</v>
      </c>
      <c r="C736" s="48">
        <v>0.57152777777777775</v>
      </c>
      <c r="D736" s="20" t="s">
        <v>62</v>
      </c>
    </row>
    <row r="737" spans="2:4" x14ac:dyDescent="0.25">
      <c r="B737" s="54">
        <v>41208</v>
      </c>
      <c r="C737" s="48">
        <v>0.57291666666666663</v>
      </c>
      <c r="D737" s="20" t="s">
        <v>62</v>
      </c>
    </row>
    <row r="738" spans="2:4" x14ac:dyDescent="0.25">
      <c r="B738" s="54">
        <v>41208</v>
      </c>
      <c r="C738" s="48">
        <v>0.5854166666666667</v>
      </c>
      <c r="D738" s="20" t="s">
        <v>62</v>
      </c>
    </row>
    <row r="739" spans="2:4" x14ac:dyDescent="0.25">
      <c r="B739" s="54">
        <v>41208</v>
      </c>
      <c r="C739" s="48">
        <v>0.66319444444444442</v>
      </c>
      <c r="D739" s="20" t="s">
        <v>62</v>
      </c>
    </row>
    <row r="740" spans="2:4" x14ac:dyDescent="0.25">
      <c r="B740" s="54">
        <v>41208</v>
      </c>
      <c r="C740" s="48">
        <v>0.68125000000000002</v>
      </c>
      <c r="D740" s="20" t="s">
        <v>62</v>
      </c>
    </row>
    <row r="741" spans="2:4" x14ac:dyDescent="0.25">
      <c r="B741" s="54">
        <v>41208</v>
      </c>
      <c r="C741" s="48">
        <v>0.69305555555555554</v>
      </c>
      <c r="D741" s="20" t="s">
        <v>62</v>
      </c>
    </row>
    <row r="742" spans="2:4" x14ac:dyDescent="0.25">
      <c r="B742" s="54">
        <v>41208</v>
      </c>
      <c r="C742" s="48">
        <v>0.72222222222222221</v>
      </c>
      <c r="D742" s="20" t="s">
        <v>62</v>
      </c>
    </row>
    <row r="743" spans="2:4" x14ac:dyDescent="0.25">
      <c r="B743" s="54">
        <v>41208</v>
      </c>
      <c r="C743" s="48">
        <v>0.72569444444444453</v>
      </c>
      <c r="D743" s="20" t="s">
        <v>62</v>
      </c>
    </row>
    <row r="744" spans="2:4" x14ac:dyDescent="0.25">
      <c r="B744" s="54">
        <v>41208</v>
      </c>
      <c r="C744" s="48">
        <v>0.73819444444444438</v>
      </c>
      <c r="D744" s="20" t="s">
        <v>63</v>
      </c>
    </row>
    <row r="745" spans="2:4" x14ac:dyDescent="0.25">
      <c r="B745" s="54">
        <v>41208</v>
      </c>
      <c r="C745" s="48">
        <v>0.7729166666666667</v>
      </c>
      <c r="D745" s="20" t="s">
        <v>62</v>
      </c>
    </row>
    <row r="746" spans="2:4" x14ac:dyDescent="0.25">
      <c r="B746" s="54">
        <v>41208</v>
      </c>
      <c r="C746" s="48">
        <v>0.81805555555555554</v>
      </c>
      <c r="D746" s="20" t="s">
        <v>62</v>
      </c>
    </row>
    <row r="747" spans="2:4" x14ac:dyDescent="0.25">
      <c r="B747" s="54">
        <v>41208</v>
      </c>
      <c r="C747" s="48">
        <v>0.97569444444444453</v>
      </c>
      <c r="D747" s="20" t="s">
        <v>62</v>
      </c>
    </row>
    <row r="748" spans="2:4" x14ac:dyDescent="0.25">
      <c r="B748" s="54">
        <v>41209</v>
      </c>
      <c r="C748" s="48">
        <v>0.25416666666666665</v>
      </c>
      <c r="D748" s="20" t="s">
        <v>62</v>
      </c>
    </row>
    <row r="749" spans="2:4" x14ac:dyDescent="0.25">
      <c r="B749" s="54">
        <v>41209</v>
      </c>
      <c r="C749" s="48">
        <v>0.26319444444444445</v>
      </c>
      <c r="D749" s="20" t="s">
        <v>62</v>
      </c>
    </row>
    <row r="750" spans="2:4" x14ac:dyDescent="0.25">
      <c r="B750" s="54">
        <v>41209</v>
      </c>
      <c r="C750" s="48">
        <v>0.28194444444444444</v>
      </c>
      <c r="D750" s="20" t="s">
        <v>62</v>
      </c>
    </row>
    <row r="751" spans="2:4" x14ac:dyDescent="0.25">
      <c r="B751" s="54">
        <v>41209</v>
      </c>
      <c r="C751" s="48">
        <v>0.28194444444444444</v>
      </c>
      <c r="D751" s="20" t="s">
        <v>62</v>
      </c>
    </row>
    <row r="752" spans="2:4" x14ac:dyDescent="0.25">
      <c r="B752" s="54">
        <v>41209</v>
      </c>
      <c r="C752" s="48">
        <v>0.28680555555555554</v>
      </c>
      <c r="D752" s="20" t="s">
        <v>62</v>
      </c>
    </row>
    <row r="753" spans="2:4" x14ac:dyDescent="0.25">
      <c r="B753" s="54">
        <v>41209</v>
      </c>
      <c r="C753" s="48">
        <v>0.29444444444444445</v>
      </c>
      <c r="D753" s="20" t="s">
        <v>62</v>
      </c>
    </row>
    <row r="754" spans="2:4" x14ac:dyDescent="0.25">
      <c r="B754" s="54">
        <v>41209</v>
      </c>
      <c r="C754" s="48">
        <v>0.32361111111111113</v>
      </c>
      <c r="D754" s="20" t="s">
        <v>62</v>
      </c>
    </row>
    <row r="755" spans="2:4" x14ac:dyDescent="0.25">
      <c r="B755" s="54">
        <v>41209</v>
      </c>
      <c r="C755" s="48">
        <v>0.32708333333333334</v>
      </c>
      <c r="D755" s="20" t="s">
        <v>62</v>
      </c>
    </row>
    <row r="756" spans="2:4" x14ac:dyDescent="0.25">
      <c r="B756" s="54">
        <v>41209</v>
      </c>
      <c r="C756" s="48">
        <v>0.35555555555555557</v>
      </c>
      <c r="D756" s="20" t="s">
        <v>63</v>
      </c>
    </row>
    <row r="757" spans="2:4" x14ac:dyDescent="0.25">
      <c r="B757" s="54">
        <v>41209</v>
      </c>
      <c r="C757" s="48">
        <v>0.35625000000000001</v>
      </c>
      <c r="D757" s="20" t="s">
        <v>62</v>
      </c>
    </row>
    <row r="758" spans="2:4" x14ac:dyDescent="0.25">
      <c r="B758" s="54">
        <v>41209</v>
      </c>
      <c r="C758" s="48">
        <v>0.35625000000000001</v>
      </c>
      <c r="D758" s="20" t="s">
        <v>62</v>
      </c>
    </row>
    <row r="759" spans="2:4" x14ac:dyDescent="0.25">
      <c r="B759" s="54">
        <v>41209</v>
      </c>
      <c r="C759" s="48">
        <v>0.36874999999999997</v>
      </c>
      <c r="D759" s="20" t="s">
        <v>62</v>
      </c>
    </row>
    <row r="760" spans="2:4" x14ac:dyDescent="0.25">
      <c r="B760" s="54">
        <v>41209</v>
      </c>
      <c r="C760" s="48">
        <v>0.3756944444444445</v>
      </c>
      <c r="D760" s="20" t="s">
        <v>62</v>
      </c>
    </row>
    <row r="761" spans="2:4" x14ac:dyDescent="0.25">
      <c r="B761" s="54">
        <v>41209</v>
      </c>
      <c r="C761" s="48">
        <v>0.41944444444444445</v>
      </c>
      <c r="D761" s="20" t="s">
        <v>62</v>
      </c>
    </row>
    <row r="762" spans="2:4" x14ac:dyDescent="0.25">
      <c r="B762" s="54">
        <v>41209</v>
      </c>
      <c r="C762" s="48">
        <v>0.42499999999999999</v>
      </c>
      <c r="D762" s="20" t="s">
        <v>62</v>
      </c>
    </row>
    <row r="763" spans="2:4" x14ac:dyDescent="0.25">
      <c r="B763" s="54">
        <v>41209</v>
      </c>
      <c r="C763" s="48">
        <v>0.46388888888888885</v>
      </c>
      <c r="D763" s="20" t="s">
        <v>63</v>
      </c>
    </row>
    <row r="764" spans="2:4" x14ac:dyDescent="0.25">
      <c r="B764" s="54">
        <v>41210</v>
      </c>
      <c r="C764" s="48">
        <v>0.45833333333333331</v>
      </c>
      <c r="D764" s="20" t="s">
        <v>62</v>
      </c>
    </row>
    <row r="765" spans="2:4" x14ac:dyDescent="0.25">
      <c r="B765" s="54">
        <v>41210</v>
      </c>
      <c r="C765" s="48">
        <v>0.4826388888888889</v>
      </c>
      <c r="D765" s="20" t="s">
        <v>63</v>
      </c>
    </row>
    <row r="766" spans="2:4" x14ac:dyDescent="0.25">
      <c r="B766" s="54">
        <v>41210</v>
      </c>
      <c r="C766" s="48">
        <v>0.53472222222222221</v>
      </c>
      <c r="D766" s="20" t="s">
        <v>62</v>
      </c>
    </row>
    <row r="767" spans="2:4" x14ac:dyDescent="0.25">
      <c r="B767" s="54">
        <v>41210</v>
      </c>
      <c r="C767" s="48">
        <v>0.55347222222222225</v>
      </c>
      <c r="D767" s="20" t="s">
        <v>62</v>
      </c>
    </row>
    <row r="768" spans="2:4" x14ac:dyDescent="0.25">
      <c r="B768" s="54">
        <v>41210</v>
      </c>
      <c r="C768" s="48">
        <v>0.62083333333333335</v>
      </c>
      <c r="D768" s="20" t="s">
        <v>62</v>
      </c>
    </row>
    <row r="769" spans="2:4" x14ac:dyDescent="0.25">
      <c r="B769" s="54">
        <v>41210</v>
      </c>
      <c r="C769" s="48">
        <v>0.66111111111111109</v>
      </c>
      <c r="D769" s="20" t="s">
        <v>62</v>
      </c>
    </row>
    <row r="770" spans="2:4" x14ac:dyDescent="0.25">
      <c r="B770" s="54">
        <v>41210</v>
      </c>
      <c r="C770" s="48">
        <v>0.69305555555555554</v>
      </c>
      <c r="D770" s="20" t="s">
        <v>62</v>
      </c>
    </row>
    <row r="771" spans="2:4" x14ac:dyDescent="0.25">
      <c r="B771" s="54">
        <v>41210</v>
      </c>
      <c r="C771" s="48">
        <v>0.71250000000000002</v>
      </c>
      <c r="D771" s="20" t="s">
        <v>62</v>
      </c>
    </row>
    <row r="772" spans="2:4" x14ac:dyDescent="0.25">
      <c r="B772" s="54">
        <v>41210</v>
      </c>
      <c r="C772" s="48">
        <v>0.75069444444444444</v>
      </c>
      <c r="D772" s="20" t="s">
        <v>62</v>
      </c>
    </row>
    <row r="773" spans="2:4" x14ac:dyDescent="0.25">
      <c r="B773" s="54">
        <v>41210</v>
      </c>
      <c r="C773" s="48">
        <v>0.79861111111111116</v>
      </c>
      <c r="D773" s="20" t="s">
        <v>62</v>
      </c>
    </row>
    <row r="774" spans="2:4" x14ac:dyDescent="0.25">
      <c r="B774" s="54">
        <v>41210</v>
      </c>
      <c r="C774" s="48">
        <v>0.84027777777777779</v>
      </c>
      <c r="D774" s="20" t="s">
        <v>62</v>
      </c>
    </row>
    <row r="775" spans="2:4" x14ac:dyDescent="0.25">
      <c r="B775" s="54">
        <v>41210</v>
      </c>
      <c r="C775" s="48">
        <v>0.85277777777777775</v>
      </c>
      <c r="D775" s="20" t="s">
        <v>62</v>
      </c>
    </row>
    <row r="776" spans="2:4" x14ac:dyDescent="0.25">
      <c r="B776" s="54">
        <v>41210</v>
      </c>
      <c r="C776" s="48">
        <v>0.85277777777777775</v>
      </c>
      <c r="D776" s="20" t="s">
        <v>63</v>
      </c>
    </row>
    <row r="777" spans="2:4" x14ac:dyDescent="0.25">
      <c r="B777" s="54">
        <v>41210</v>
      </c>
      <c r="C777" s="48">
        <v>0.85277777777777775</v>
      </c>
      <c r="D777" s="20" t="s">
        <v>62</v>
      </c>
    </row>
    <row r="778" spans="2:4" x14ac:dyDescent="0.25">
      <c r="B778" s="54">
        <v>41210</v>
      </c>
      <c r="C778" s="48">
        <v>0.85277777777777775</v>
      </c>
      <c r="D778" s="20" t="s">
        <v>62</v>
      </c>
    </row>
    <row r="779" spans="2:4" x14ac:dyDescent="0.25">
      <c r="B779" s="54">
        <v>41210</v>
      </c>
      <c r="C779" s="48">
        <v>0.85416666666666663</v>
      </c>
      <c r="D779" s="20" t="s">
        <v>62</v>
      </c>
    </row>
    <row r="780" spans="2:4" x14ac:dyDescent="0.25">
      <c r="B780" s="54">
        <v>41210</v>
      </c>
      <c r="C780" s="48">
        <v>0.85416666666666663</v>
      </c>
      <c r="D780" s="20" t="s">
        <v>63</v>
      </c>
    </row>
    <row r="781" spans="2:4" x14ac:dyDescent="0.25">
      <c r="B781" s="54">
        <v>41210</v>
      </c>
      <c r="C781" s="48">
        <v>0.85416666666666663</v>
      </c>
      <c r="D781" s="20" t="s">
        <v>62</v>
      </c>
    </row>
    <row r="782" spans="2:4" x14ac:dyDescent="0.25">
      <c r="B782" s="54">
        <v>41210</v>
      </c>
      <c r="C782" s="48">
        <v>0.85416666666666663</v>
      </c>
      <c r="D782" s="20" t="s">
        <v>62</v>
      </c>
    </row>
    <row r="783" spans="2:4" x14ac:dyDescent="0.25">
      <c r="B783" s="54">
        <v>41210</v>
      </c>
      <c r="C783" s="48">
        <v>0.86875000000000002</v>
      </c>
      <c r="D783" s="20" t="s">
        <v>62</v>
      </c>
    </row>
    <row r="784" spans="2:4" x14ac:dyDescent="0.25">
      <c r="B784" s="54">
        <v>41210</v>
      </c>
      <c r="C784" s="48">
        <v>0.86875000000000002</v>
      </c>
      <c r="D784" s="20" t="s">
        <v>62</v>
      </c>
    </row>
    <row r="785" spans="2:4" x14ac:dyDescent="0.25">
      <c r="B785" s="54">
        <v>41210</v>
      </c>
      <c r="C785" s="48">
        <v>0.86875000000000002</v>
      </c>
      <c r="D785" s="20" t="s">
        <v>62</v>
      </c>
    </row>
    <row r="786" spans="2:4" x14ac:dyDescent="0.25">
      <c r="B786" s="54">
        <v>41210</v>
      </c>
      <c r="C786" s="48">
        <v>0.86875000000000002</v>
      </c>
      <c r="D786" s="20" t="s">
        <v>62</v>
      </c>
    </row>
    <row r="787" spans="2:4" x14ac:dyDescent="0.25">
      <c r="B787" s="54">
        <v>41210</v>
      </c>
      <c r="C787" s="48">
        <v>0.87291666666666667</v>
      </c>
      <c r="D787" s="20" t="s">
        <v>63</v>
      </c>
    </row>
    <row r="788" spans="2:4" x14ac:dyDescent="0.25">
      <c r="B788" s="54">
        <v>41210</v>
      </c>
      <c r="C788" s="48">
        <v>0.88263888888888886</v>
      </c>
      <c r="D788" s="20" t="s">
        <v>62</v>
      </c>
    </row>
    <row r="789" spans="2:4" x14ac:dyDescent="0.25">
      <c r="B789" s="54">
        <v>41210</v>
      </c>
      <c r="C789" s="48">
        <v>0.89930555555555547</v>
      </c>
      <c r="D789" s="20" t="s">
        <v>62</v>
      </c>
    </row>
    <row r="790" spans="2:4" x14ac:dyDescent="0.25">
      <c r="B790" s="54">
        <v>41210</v>
      </c>
      <c r="C790" s="48">
        <v>0.89930555555555547</v>
      </c>
      <c r="D790" s="20" t="s">
        <v>63</v>
      </c>
    </row>
    <row r="791" spans="2:4" x14ac:dyDescent="0.25">
      <c r="B791" s="54">
        <v>41210</v>
      </c>
      <c r="C791" s="48">
        <v>0.89930555555555547</v>
      </c>
      <c r="D791" s="20" t="s">
        <v>62</v>
      </c>
    </row>
    <row r="792" spans="2:4" x14ac:dyDescent="0.25">
      <c r="B792" s="54">
        <v>41210</v>
      </c>
      <c r="C792" s="48">
        <v>0.92083333333333339</v>
      </c>
      <c r="D792" s="20" t="s">
        <v>62</v>
      </c>
    </row>
    <row r="793" spans="2:4" x14ac:dyDescent="0.25">
      <c r="B793" s="54">
        <v>41210</v>
      </c>
      <c r="C793" s="48">
        <v>0.9243055555555556</v>
      </c>
      <c r="D793" s="20" t="s">
        <v>62</v>
      </c>
    </row>
    <row r="794" spans="2:4" x14ac:dyDescent="0.25">
      <c r="B794" s="54">
        <v>41210</v>
      </c>
      <c r="C794" s="48">
        <v>0.94513888888888886</v>
      </c>
      <c r="D794" s="20" t="s">
        <v>62</v>
      </c>
    </row>
    <row r="795" spans="2:4" x14ac:dyDescent="0.25">
      <c r="B795" s="54">
        <v>41210</v>
      </c>
      <c r="C795" s="48">
        <v>0.94513888888888886</v>
      </c>
      <c r="D795" s="20" t="s">
        <v>62</v>
      </c>
    </row>
    <row r="796" spans="2:4" x14ac:dyDescent="0.25">
      <c r="B796" s="54">
        <v>41210</v>
      </c>
      <c r="C796" s="48">
        <v>0.9555555555555556</v>
      </c>
      <c r="D796" s="20" t="s">
        <v>62</v>
      </c>
    </row>
    <row r="797" spans="2:4" x14ac:dyDescent="0.25">
      <c r="B797" s="54">
        <v>41210</v>
      </c>
      <c r="C797" s="48">
        <v>0.96458333333333324</v>
      </c>
      <c r="D797" s="20" t="s">
        <v>63</v>
      </c>
    </row>
    <row r="798" spans="2:4" x14ac:dyDescent="0.25">
      <c r="B798" s="54">
        <v>41210</v>
      </c>
      <c r="C798" s="48">
        <v>0.96458333333333324</v>
      </c>
      <c r="D798" s="20" t="s">
        <v>62</v>
      </c>
    </row>
    <row r="799" spans="2:4" x14ac:dyDescent="0.25">
      <c r="B799" s="54">
        <v>41210</v>
      </c>
      <c r="C799" s="48">
        <v>0.97569444444444453</v>
      </c>
      <c r="D799" s="20" t="s">
        <v>63</v>
      </c>
    </row>
    <row r="800" spans="2:4" x14ac:dyDescent="0.25">
      <c r="B800" s="54">
        <v>41210</v>
      </c>
      <c r="C800" s="48">
        <v>0.97569444444444453</v>
      </c>
      <c r="D800" s="20" t="s">
        <v>62</v>
      </c>
    </row>
    <row r="801" spans="2:4" x14ac:dyDescent="0.25">
      <c r="B801" s="54">
        <v>41210</v>
      </c>
      <c r="C801" s="48">
        <v>0.97777777777777775</v>
      </c>
      <c r="D801" s="20" t="s">
        <v>62</v>
      </c>
    </row>
    <row r="802" spans="2:4" x14ac:dyDescent="0.25">
      <c r="B802" s="54">
        <v>41210</v>
      </c>
      <c r="C802" s="48">
        <v>0.97777777777777775</v>
      </c>
      <c r="D802" s="20" t="s">
        <v>62</v>
      </c>
    </row>
    <row r="803" spans="2:4" x14ac:dyDescent="0.25">
      <c r="B803" s="54">
        <v>41210</v>
      </c>
      <c r="C803" s="48">
        <v>0.9784722222222223</v>
      </c>
      <c r="D803" s="20" t="s">
        <v>62</v>
      </c>
    </row>
    <row r="804" spans="2:4" x14ac:dyDescent="0.25">
      <c r="B804" s="54">
        <v>41210</v>
      </c>
      <c r="C804" s="48">
        <v>0.98055555555555562</v>
      </c>
      <c r="D804" s="20" t="s">
        <v>63</v>
      </c>
    </row>
    <row r="805" spans="2:4" x14ac:dyDescent="0.25">
      <c r="B805" s="54">
        <v>41210</v>
      </c>
      <c r="C805" s="48">
        <v>0.98055555555555562</v>
      </c>
      <c r="D805" s="20" t="s">
        <v>62</v>
      </c>
    </row>
    <row r="806" spans="2:4" x14ac:dyDescent="0.25">
      <c r="B806" s="54">
        <v>41211</v>
      </c>
      <c r="C806" s="48">
        <v>0.3</v>
      </c>
      <c r="D806" s="20" t="s">
        <v>62</v>
      </c>
    </row>
    <row r="807" spans="2:4" x14ac:dyDescent="0.25">
      <c r="B807" s="54">
        <v>41211</v>
      </c>
      <c r="C807" s="48">
        <v>0.33749999999999997</v>
      </c>
      <c r="D807" s="20" t="s">
        <v>62</v>
      </c>
    </row>
    <row r="808" spans="2:4" x14ac:dyDescent="0.25">
      <c r="B808" s="54">
        <v>41211</v>
      </c>
      <c r="C808" s="48">
        <v>0.34722222222222227</v>
      </c>
      <c r="D808" s="20" t="s">
        <v>62</v>
      </c>
    </row>
    <row r="809" spans="2:4" x14ac:dyDescent="0.25">
      <c r="B809" s="54">
        <v>41211</v>
      </c>
      <c r="C809" s="48">
        <v>0.38472222222222219</v>
      </c>
      <c r="D809" s="20" t="s">
        <v>62</v>
      </c>
    </row>
    <row r="810" spans="2:4" x14ac:dyDescent="0.25">
      <c r="B810" s="54">
        <v>41211</v>
      </c>
      <c r="C810" s="48">
        <v>0.4236111111111111</v>
      </c>
      <c r="D810" s="20" t="s">
        <v>62</v>
      </c>
    </row>
    <row r="811" spans="2:4" x14ac:dyDescent="0.25">
      <c r="B811" s="54">
        <v>41211</v>
      </c>
      <c r="C811" s="48">
        <v>0.48402777777777778</v>
      </c>
      <c r="D811" s="20" t="s">
        <v>62</v>
      </c>
    </row>
    <row r="812" spans="2:4" x14ac:dyDescent="0.25">
      <c r="B812" s="54">
        <v>41211</v>
      </c>
      <c r="C812" s="48">
        <v>0.50902777777777775</v>
      </c>
      <c r="D812" s="20" t="s">
        <v>62</v>
      </c>
    </row>
    <row r="813" spans="2:4" x14ac:dyDescent="0.25">
      <c r="B813" s="54">
        <v>41211</v>
      </c>
      <c r="C813" s="48">
        <v>0.52708333333333335</v>
      </c>
      <c r="D813" s="20" t="s">
        <v>62</v>
      </c>
    </row>
    <row r="814" spans="2:4" x14ac:dyDescent="0.25">
      <c r="B814" s="54">
        <v>41211</v>
      </c>
      <c r="C814" s="48">
        <v>0.54513888888888895</v>
      </c>
      <c r="D814" s="20" t="s">
        <v>62</v>
      </c>
    </row>
    <row r="815" spans="2:4" x14ac:dyDescent="0.25">
      <c r="B815" s="54">
        <v>41211</v>
      </c>
      <c r="C815" s="48">
        <v>0.55138888888888882</v>
      </c>
      <c r="D815" s="20" t="s">
        <v>62</v>
      </c>
    </row>
    <row r="816" spans="2:4" x14ac:dyDescent="0.25">
      <c r="B816" s="54">
        <v>41211</v>
      </c>
      <c r="C816" s="48">
        <v>0.55763888888888891</v>
      </c>
      <c r="D816" s="20" t="s">
        <v>62</v>
      </c>
    </row>
    <row r="817" spans="2:4" x14ac:dyDescent="0.25">
      <c r="B817" s="54">
        <v>41211</v>
      </c>
      <c r="C817" s="48">
        <v>0.58263888888888882</v>
      </c>
      <c r="D817" s="20" t="s">
        <v>62</v>
      </c>
    </row>
    <row r="818" spans="2:4" x14ac:dyDescent="0.25">
      <c r="B818" s="54">
        <v>41211</v>
      </c>
      <c r="C818" s="48">
        <v>0.59583333333333333</v>
      </c>
      <c r="D818" s="20" t="s">
        <v>63</v>
      </c>
    </row>
    <row r="819" spans="2:4" x14ac:dyDescent="0.25">
      <c r="B819" s="54">
        <v>41211</v>
      </c>
      <c r="C819" s="48">
        <v>0.60902777777777783</v>
      </c>
      <c r="D819" s="20" t="s">
        <v>62</v>
      </c>
    </row>
    <row r="820" spans="2:4" x14ac:dyDescent="0.25">
      <c r="B820" s="54">
        <v>41211</v>
      </c>
      <c r="C820" s="48">
        <v>0.60902777777777783</v>
      </c>
      <c r="D820" s="20" t="s">
        <v>62</v>
      </c>
    </row>
    <row r="821" spans="2:4" x14ac:dyDescent="0.25">
      <c r="B821" s="54">
        <v>41211</v>
      </c>
      <c r="C821" s="48">
        <v>0.6479166666666667</v>
      </c>
      <c r="D821" s="20" t="s">
        <v>62</v>
      </c>
    </row>
    <row r="822" spans="2:4" x14ac:dyDescent="0.25">
      <c r="B822" s="54">
        <v>41211</v>
      </c>
      <c r="C822" s="48">
        <v>0.65208333333333335</v>
      </c>
      <c r="D822" s="20" t="s">
        <v>62</v>
      </c>
    </row>
    <row r="823" spans="2:4" x14ac:dyDescent="0.25">
      <c r="B823" s="54">
        <v>41211</v>
      </c>
      <c r="C823" s="48">
        <v>0.65972222222222221</v>
      </c>
      <c r="D823" s="20" t="s">
        <v>62</v>
      </c>
    </row>
    <row r="824" spans="2:4" x14ac:dyDescent="0.25">
      <c r="B824" s="54">
        <v>41211</v>
      </c>
      <c r="C824" s="48">
        <v>0.6791666666666667</v>
      </c>
      <c r="D824" s="20" t="s">
        <v>63</v>
      </c>
    </row>
    <row r="825" spans="2:4" x14ac:dyDescent="0.25">
      <c r="B825" s="54">
        <v>41211</v>
      </c>
      <c r="C825" s="48">
        <v>0.69305555555555554</v>
      </c>
      <c r="D825" s="20" t="s">
        <v>62</v>
      </c>
    </row>
    <row r="826" spans="2:4" x14ac:dyDescent="0.25">
      <c r="B826" s="54">
        <v>41211</v>
      </c>
      <c r="C826" s="48">
        <v>0.72222222222222221</v>
      </c>
      <c r="D826" s="20" t="s">
        <v>62</v>
      </c>
    </row>
    <row r="827" spans="2:4" x14ac:dyDescent="0.25">
      <c r="B827" s="54">
        <v>41211</v>
      </c>
      <c r="C827" s="48">
        <v>0.74513888888888891</v>
      </c>
      <c r="D827" s="20" t="s">
        <v>62</v>
      </c>
    </row>
    <row r="828" spans="2:4" x14ac:dyDescent="0.25">
      <c r="B828" s="54">
        <v>41211</v>
      </c>
      <c r="C828" s="48">
        <v>0.76736111111111116</v>
      </c>
      <c r="D828" s="20" t="s">
        <v>63</v>
      </c>
    </row>
    <row r="829" spans="2:4" x14ac:dyDescent="0.25">
      <c r="B829" s="54">
        <v>41211</v>
      </c>
      <c r="C829" s="48">
        <v>0.78680555555555554</v>
      </c>
      <c r="D829" s="20" t="s">
        <v>62</v>
      </c>
    </row>
    <row r="830" spans="2:4" x14ac:dyDescent="0.25">
      <c r="B830" s="54">
        <v>41211</v>
      </c>
      <c r="C830" s="48">
        <v>0.82361111111111107</v>
      </c>
      <c r="D830" s="20" t="s">
        <v>62</v>
      </c>
    </row>
    <row r="831" spans="2:4" x14ac:dyDescent="0.25">
      <c r="B831" s="54">
        <v>41211</v>
      </c>
      <c r="C831" s="48">
        <v>0.85277777777777775</v>
      </c>
      <c r="D831" s="20" t="s">
        <v>62</v>
      </c>
    </row>
    <row r="832" spans="2:4" x14ac:dyDescent="0.25">
      <c r="B832" s="54">
        <v>41211</v>
      </c>
      <c r="C832" s="48">
        <v>0.85416666666666663</v>
      </c>
      <c r="D832" s="20" t="s">
        <v>62</v>
      </c>
    </row>
    <row r="833" spans="2:4" x14ac:dyDescent="0.25">
      <c r="B833" s="54">
        <v>41211</v>
      </c>
      <c r="C833" s="48">
        <v>0.86875000000000002</v>
      </c>
      <c r="D833" s="20" t="s">
        <v>62</v>
      </c>
    </row>
    <row r="834" spans="2:4" x14ac:dyDescent="0.25">
      <c r="B834" s="54">
        <v>41211</v>
      </c>
      <c r="C834" s="48">
        <v>0.89930555555555547</v>
      </c>
      <c r="D834" s="20" t="s">
        <v>62</v>
      </c>
    </row>
    <row r="835" spans="2:4" x14ac:dyDescent="0.25">
      <c r="B835" s="54">
        <v>41211</v>
      </c>
      <c r="C835" s="48">
        <v>0.94513888888888886</v>
      </c>
      <c r="D835" s="20" t="s">
        <v>62</v>
      </c>
    </row>
    <row r="836" spans="2:4" x14ac:dyDescent="0.25">
      <c r="B836" s="54">
        <v>41211</v>
      </c>
      <c r="C836" s="48">
        <v>0.96458333333333324</v>
      </c>
      <c r="D836" s="20" t="s">
        <v>63</v>
      </c>
    </row>
    <row r="837" spans="2:4" x14ac:dyDescent="0.25">
      <c r="B837" s="54">
        <v>41211</v>
      </c>
      <c r="C837" s="48">
        <v>0.97777777777777775</v>
      </c>
      <c r="D837" s="20" t="s">
        <v>63</v>
      </c>
    </row>
    <row r="838" spans="2:4" x14ac:dyDescent="0.25">
      <c r="B838" s="54">
        <v>41211</v>
      </c>
      <c r="C838" s="48">
        <v>0.98055555555555562</v>
      </c>
      <c r="D838" s="20" t="s">
        <v>62</v>
      </c>
    </row>
    <row r="839" spans="2:4" x14ac:dyDescent="0.25">
      <c r="B839" s="54">
        <v>41212</v>
      </c>
      <c r="C839" s="48">
        <v>0.39305555555555555</v>
      </c>
      <c r="D839" s="20" t="s">
        <v>63</v>
      </c>
    </row>
    <row r="840" spans="2:4" x14ac:dyDescent="0.25">
      <c r="B840" s="54">
        <v>41212</v>
      </c>
      <c r="C840" s="48">
        <v>0.43472222222222223</v>
      </c>
      <c r="D840" s="20" t="s">
        <v>62</v>
      </c>
    </row>
    <row r="841" spans="2:4" x14ac:dyDescent="0.25">
      <c r="B841" s="54">
        <v>41212</v>
      </c>
      <c r="C841" s="48">
        <v>0.43888888888888888</v>
      </c>
      <c r="D841" s="20" t="s">
        <v>63</v>
      </c>
    </row>
    <row r="842" spans="2:4" x14ac:dyDescent="0.25">
      <c r="B842" s="54">
        <v>41212</v>
      </c>
      <c r="C842" s="48">
        <v>0.4458333333333333</v>
      </c>
      <c r="D842" s="20" t="s">
        <v>62</v>
      </c>
    </row>
    <row r="843" spans="2:4" x14ac:dyDescent="0.25">
      <c r="B843" s="54">
        <v>41212</v>
      </c>
      <c r="C843" s="48">
        <v>0.49236111111111108</v>
      </c>
      <c r="D843" s="20" t="s">
        <v>62</v>
      </c>
    </row>
    <row r="844" spans="2:4" x14ac:dyDescent="0.25">
      <c r="B844" s="54">
        <v>41212</v>
      </c>
      <c r="C844" s="48">
        <v>0.53888888888888886</v>
      </c>
      <c r="D844" s="20" t="s">
        <v>62</v>
      </c>
    </row>
    <row r="845" spans="2:4" x14ac:dyDescent="0.25">
      <c r="B845" s="54">
        <v>41212</v>
      </c>
      <c r="C845" s="48">
        <v>0.54166666666666663</v>
      </c>
      <c r="D845" s="20" t="s">
        <v>62</v>
      </c>
    </row>
    <row r="846" spans="2:4" x14ac:dyDescent="0.25">
      <c r="B846" s="54">
        <v>41212</v>
      </c>
      <c r="C846" s="48">
        <v>0.55555555555555558</v>
      </c>
      <c r="D846" s="20" t="s">
        <v>62</v>
      </c>
    </row>
    <row r="847" spans="2:4" x14ac:dyDescent="0.25">
      <c r="B847" s="54">
        <v>41212</v>
      </c>
      <c r="C847" s="48">
        <v>0.56111111111111112</v>
      </c>
      <c r="D847" s="20" t="s">
        <v>62</v>
      </c>
    </row>
    <row r="848" spans="2:4" x14ac:dyDescent="0.25">
      <c r="B848" s="54">
        <v>41212</v>
      </c>
      <c r="C848" s="48">
        <v>0.57638888888888895</v>
      </c>
      <c r="D848" s="20" t="s">
        <v>62</v>
      </c>
    </row>
    <row r="849" spans="2:4" x14ac:dyDescent="0.25">
      <c r="B849" s="54">
        <v>41212</v>
      </c>
      <c r="C849" s="48">
        <v>0.60277777777777775</v>
      </c>
      <c r="D849" s="20" t="s">
        <v>62</v>
      </c>
    </row>
    <row r="850" spans="2:4" x14ac:dyDescent="0.25">
      <c r="B850" s="54">
        <v>41212</v>
      </c>
      <c r="C850" s="48">
        <v>0.61736111111111114</v>
      </c>
      <c r="D850" s="20" t="s">
        <v>62</v>
      </c>
    </row>
    <row r="851" spans="2:4" x14ac:dyDescent="0.25">
      <c r="B851" s="54">
        <v>41212</v>
      </c>
      <c r="C851" s="48">
        <v>0.61736111111111114</v>
      </c>
      <c r="D851" s="20" t="s">
        <v>62</v>
      </c>
    </row>
    <row r="852" spans="2:4" x14ac:dyDescent="0.25">
      <c r="B852" s="54">
        <v>41212</v>
      </c>
      <c r="C852" s="48">
        <v>0.61805555555555558</v>
      </c>
      <c r="D852" s="20" t="s">
        <v>63</v>
      </c>
    </row>
    <row r="853" spans="2:4" x14ac:dyDescent="0.25">
      <c r="B853" s="54">
        <v>41212</v>
      </c>
      <c r="C853" s="48">
        <v>0.62222222222222223</v>
      </c>
      <c r="D853" s="20" t="s">
        <v>62</v>
      </c>
    </row>
    <row r="854" spans="2:4" x14ac:dyDescent="0.25">
      <c r="B854" s="54">
        <v>41212</v>
      </c>
      <c r="C854" s="48">
        <v>0.65277777777777779</v>
      </c>
      <c r="D854" s="20" t="s">
        <v>63</v>
      </c>
    </row>
    <row r="855" spans="2:4" x14ac:dyDescent="0.25">
      <c r="B855" s="54">
        <v>41212</v>
      </c>
      <c r="C855" s="48">
        <v>0.65347222222222223</v>
      </c>
      <c r="D855" s="20" t="s">
        <v>62</v>
      </c>
    </row>
    <row r="856" spans="2:4" x14ac:dyDescent="0.25">
      <c r="B856" s="54">
        <v>41212</v>
      </c>
      <c r="C856" s="48">
        <v>0.65625</v>
      </c>
      <c r="D856" s="20" t="s">
        <v>62</v>
      </c>
    </row>
    <row r="857" spans="2:4" x14ac:dyDescent="0.25">
      <c r="B857" s="54">
        <v>41212</v>
      </c>
      <c r="C857" s="48">
        <v>0.66319444444444442</v>
      </c>
      <c r="D857" s="20" t="s">
        <v>62</v>
      </c>
    </row>
    <row r="858" spans="2:4" x14ac:dyDescent="0.25">
      <c r="B858" s="54">
        <v>41212</v>
      </c>
      <c r="C858" s="48">
        <v>0.66736111111111107</v>
      </c>
      <c r="D858" s="20" t="s">
        <v>63</v>
      </c>
    </row>
    <row r="859" spans="2:4" x14ac:dyDescent="0.25">
      <c r="B859" s="54">
        <v>41212</v>
      </c>
      <c r="C859" s="48">
        <v>0.68680555555555556</v>
      </c>
      <c r="D859" s="20" t="s">
        <v>62</v>
      </c>
    </row>
    <row r="860" spans="2:4" x14ac:dyDescent="0.25">
      <c r="B860" s="54">
        <v>41212</v>
      </c>
      <c r="C860" s="48">
        <v>0.71666666666666667</v>
      </c>
      <c r="D860" s="20" t="s">
        <v>62</v>
      </c>
    </row>
    <row r="861" spans="2:4" x14ac:dyDescent="0.25">
      <c r="B861" s="54">
        <v>41212</v>
      </c>
      <c r="C861" s="48">
        <v>0.97569444444444453</v>
      </c>
      <c r="D861" s="20" t="s">
        <v>62</v>
      </c>
    </row>
    <row r="862" spans="2:4" x14ac:dyDescent="0.25">
      <c r="B862" s="54">
        <v>41213</v>
      </c>
      <c r="C862" s="48">
        <v>0.46527777777777773</v>
      </c>
      <c r="D862" s="20" t="s">
        <v>63</v>
      </c>
    </row>
    <row r="863" spans="2:4" x14ac:dyDescent="0.25">
      <c r="B863" s="54">
        <v>41213</v>
      </c>
      <c r="C863" s="48">
        <v>0.51458333333333328</v>
      </c>
      <c r="D863" s="20" t="s">
        <v>62</v>
      </c>
    </row>
    <row r="864" spans="2:4" x14ac:dyDescent="0.25">
      <c r="B864" s="54">
        <v>41213</v>
      </c>
      <c r="C864" s="48">
        <v>0.53263888888888888</v>
      </c>
      <c r="D864" s="20" t="s">
        <v>63</v>
      </c>
    </row>
    <row r="865" spans="2:4" x14ac:dyDescent="0.25">
      <c r="B865" s="54">
        <v>41213</v>
      </c>
      <c r="C865" s="48">
        <v>0.54583333333333328</v>
      </c>
      <c r="D865" s="20" t="s">
        <v>62</v>
      </c>
    </row>
    <row r="866" spans="2:4" x14ac:dyDescent="0.25">
      <c r="B866" s="54">
        <v>41213</v>
      </c>
      <c r="C866" s="48">
        <v>0.55208333333333337</v>
      </c>
      <c r="D866" s="20" t="s">
        <v>62</v>
      </c>
    </row>
    <row r="867" spans="2:4" x14ac:dyDescent="0.25">
      <c r="B867" s="54">
        <v>41213</v>
      </c>
      <c r="C867" s="48">
        <v>0.57847222222222217</v>
      </c>
      <c r="D867" s="20" t="s">
        <v>63</v>
      </c>
    </row>
    <row r="868" spans="2:4" x14ac:dyDescent="0.25">
      <c r="B868" s="54">
        <v>41213</v>
      </c>
      <c r="C868" s="48">
        <v>0.58263888888888882</v>
      </c>
      <c r="D868" s="20" t="s">
        <v>62</v>
      </c>
    </row>
    <row r="869" spans="2:4" x14ac:dyDescent="0.25">
      <c r="B869" s="54">
        <v>41213</v>
      </c>
      <c r="C869" s="48">
        <v>0.58958333333333335</v>
      </c>
      <c r="D869" s="20" t="s">
        <v>62</v>
      </c>
    </row>
    <row r="870" spans="2:4" x14ac:dyDescent="0.25">
      <c r="B870" s="54">
        <v>41213</v>
      </c>
      <c r="C870" s="48">
        <v>0.61458333333333337</v>
      </c>
      <c r="D870" s="20" t="s">
        <v>63</v>
      </c>
    </row>
    <row r="871" spans="2:4" x14ac:dyDescent="0.25">
      <c r="B871" s="54">
        <v>41213</v>
      </c>
      <c r="C871" s="48">
        <v>0.62569444444444444</v>
      </c>
      <c r="D871" s="20" t="s">
        <v>62</v>
      </c>
    </row>
    <row r="872" spans="2:4" x14ac:dyDescent="0.25">
      <c r="B872" s="54">
        <v>41213</v>
      </c>
      <c r="C872" s="48">
        <v>0.65833333333333333</v>
      </c>
      <c r="D872" s="20" t="s">
        <v>62</v>
      </c>
    </row>
    <row r="873" spans="2:4" x14ac:dyDescent="0.25">
      <c r="B873" s="54">
        <v>41213</v>
      </c>
      <c r="C873" s="48">
        <v>0.6875</v>
      </c>
      <c r="D873" s="20" t="s">
        <v>62</v>
      </c>
    </row>
    <row r="874" spans="2:4" x14ac:dyDescent="0.25">
      <c r="B874" s="54">
        <v>41213</v>
      </c>
      <c r="C874" s="48">
        <v>0.74652777777777779</v>
      </c>
      <c r="D874" s="20" t="s">
        <v>62</v>
      </c>
    </row>
    <row r="875" spans="2:4" x14ac:dyDescent="0.25">
      <c r="B875" s="54">
        <v>41213</v>
      </c>
      <c r="C875" s="48">
        <v>0.74861111111111101</v>
      </c>
      <c r="D875" s="20" t="s">
        <v>62</v>
      </c>
    </row>
    <row r="876" spans="2:4" x14ac:dyDescent="0.25">
      <c r="B876" s="54">
        <v>41213</v>
      </c>
      <c r="C876" s="48">
        <v>0.78402777777777777</v>
      </c>
      <c r="D876" s="20" t="s">
        <v>63</v>
      </c>
    </row>
    <row r="877" spans="2:4" x14ac:dyDescent="0.25">
      <c r="B877" s="54">
        <v>41213</v>
      </c>
      <c r="C877" s="48">
        <v>0.81458333333333333</v>
      </c>
      <c r="D877" s="20" t="s">
        <v>62</v>
      </c>
    </row>
    <row r="878" spans="2:4" x14ac:dyDescent="0.25">
      <c r="B878" s="54">
        <v>41213</v>
      </c>
      <c r="C878" s="48">
        <v>0.81874999999999998</v>
      </c>
      <c r="D878" s="20" t="s">
        <v>63</v>
      </c>
    </row>
    <row r="879" spans="2:4" ht="15.75" thickBot="1" x14ac:dyDescent="0.3">
      <c r="B879" s="55">
        <v>41213</v>
      </c>
      <c r="C879" s="56">
        <v>0.84305555555555556</v>
      </c>
      <c r="D879" s="53" t="s">
        <v>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A345F-49F0-40C0-85A7-B216CBAEC062}">
  <sheetPr codeName="Sheet4"/>
  <dimension ref="A1:Q100"/>
  <sheetViews>
    <sheetView topLeftCell="A26" workbookViewId="0">
      <selection activeCell="I34" sqref="I34"/>
    </sheetView>
  </sheetViews>
  <sheetFormatPr defaultColWidth="8.85546875" defaultRowHeight="15" x14ac:dyDescent="0.25"/>
  <cols>
    <col min="2" max="2" width="37.28515625" bestFit="1" customWidth="1"/>
    <col min="3" max="3" width="10.140625" bestFit="1" customWidth="1"/>
    <col min="4" max="4" width="10.85546875" bestFit="1" customWidth="1"/>
    <col min="5" max="8" width="11.140625" bestFit="1" customWidth="1"/>
    <col min="9" max="9" width="12.7109375" bestFit="1" customWidth="1"/>
    <col min="10" max="10" width="3.42578125" customWidth="1"/>
  </cols>
  <sheetData>
    <row r="1" spans="1:17" ht="15.75" thickBot="1" x14ac:dyDescent="0.3">
      <c r="A1" s="57"/>
    </row>
    <row r="2" spans="1:17" ht="21.75" thickBot="1" x14ac:dyDescent="0.4">
      <c r="B2" s="104" t="s">
        <v>64</v>
      </c>
      <c r="C2" s="105"/>
      <c r="D2" s="105"/>
      <c r="E2" s="105"/>
      <c r="F2" s="105"/>
      <c r="G2" s="105"/>
      <c r="H2" s="105"/>
      <c r="I2" s="105"/>
      <c r="J2" s="106"/>
    </row>
    <row r="3" spans="1:17" ht="15" customHeight="1" x14ac:dyDescent="0.25">
      <c r="B3" s="9" t="s">
        <v>65</v>
      </c>
      <c r="C3" s="58">
        <v>1.4999999999999999E-2</v>
      </c>
      <c r="J3" s="24"/>
      <c r="L3" s="72" t="s">
        <v>66</v>
      </c>
      <c r="M3" s="73"/>
      <c r="N3" s="73"/>
      <c r="O3" s="73"/>
      <c r="P3" s="73"/>
      <c r="Q3" s="74"/>
    </row>
    <row r="4" spans="1:17" x14ac:dyDescent="0.25">
      <c r="B4" s="9"/>
      <c r="C4" s="59"/>
      <c r="J4" s="24"/>
      <c r="L4" s="75"/>
      <c r="M4" s="76"/>
      <c r="N4" s="76"/>
      <c r="O4" s="76"/>
      <c r="P4" s="76"/>
      <c r="Q4" s="77"/>
    </row>
    <row r="5" spans="1:17" x14ac:dyDescent="0.25">
      <c r="B5" s="9" t="s">
        <v>67</v>
      </c>
      <c r="C5" s="60">
        <v>18490.04</v>
      </c>
      <c r="J5" s="24"/>
      <c r="L5" s="75"/>
      <c r="M5" s="76"/>
      <c r="N5" s="76"/>
      <c r="O5" s="76"/>
      <c r="P5" s="76"/>
      <c r="Q5" s="77"/>
    </row>
    <row r="6" spans="1:17" ht="15.75" thickBot="1" x14ac:dyDescent="0.3">
      <c r="B6" s="23"/>
      <c r="C6" s="88"/>
      <c r="D6" s="88"/>
      <c r="J6" s="24"/>
      <c r="L6" s="78"/>
      <c r="M6" s="79"/>
      <c r="N6" s="79"/>
      <c r="O6" s="79"/>
      <c r="P6" s="79"/>
      <c r="Q6" s="80"/>
    </row>
    <row r="7" spans="1:17" x14ac:dyDescent="0.25">
      <c r="B7" s="14"/>
      <c r="C7" s="4" t="s">
        <v>68</v>
      </c>
      <c r="D7" s="61" t="s">
        <v>69</v>
      </c>
      <c r="E7" s="61" t="s">
        <v>70</v>
      </c>
      <c r="F7" s="61" t="s">
        <v>71</v>
      </c>
      <c r="G7" s="61" t="s">
        <v>72</v>
      </c>
      <c r="H7" s="61" t="s">
        <v>73</v>
      </c>
      <c r="I7" s="61" t="s">
        <v>74</v>
      </c>
      <c r="J7" s="24"/>
    </row>
    <row r="8" spans="1:17" ht="18.75" x14ac:dyDescent="0.3">
      <c r="B8" s="62" t="s">
        <v>75</v>
      </c>
      <c r="D8" s="63">
        <v>5000</v>
      </c>
      <c r="E8" s="60">
        <f>D36</f>
        <v>0</v>
      </c>
      <c r="F8" s="60">
        <f>E36</f>
        <v>0</v>
      </c>
      <c r="G8" s="60">
        <f>F36</f>
        <v>0</v>
      </c>
      <c r="H8" s="60">
        <f>G36</f>
        <v>0</v>
      </c>
      <c r="I8" s="60">
        <v>4929.4799999999996</v>
      </c>
      <c r="J8" s="24"/>
    </row>
    <row r="9" spans="1:17" ht="18.75" x14ac:dyDescent="0.3">
      <c r="B9" s="62"/>
      <c r="D9" s="98"/>
      <c r="E9" s="98"/>
      <c r="F9" s="98"/>
      <c r="G9" s="98"/>
      <c r="H9" s="98"/>
      <c r="I9" s="98"/>
      <c r="J9" s="24"/>
    </row>
    <row r="10" spans="1:17" ht="18.75" x14ac:dyDescent="0.3">
      <c r="B10" s="62" t="s">
        <v>76</v>
      </c>
      <c r="D10" s="98"/>
      <c r="E10" s="98"/>
      <c r="F10" s="98"/>
      <c r="G10" s="98"/>
      <c r="H10" s="98"/>
      <c r="I10" s="98"/>
      <c r="J10" s="24"/>
    </row>
    <row r="11" spans="1:17" x14ac:dyDescent="0.25">
      <c r="B11" s="14" t="s">
        <v>77</v>
      </c>
      <c r="D11" s="63">
        <v>35000</v>
      </c>
      <c r="E11" s="63">
        <v>45000</v>
      </c>
      <c r="F11" s="63">
        <v>53000</v>
      </c>
      <c r="G11" s="63">
        <v>64680</v>
      </c>
      <c r="H11" s="63">
        <v>76540</v>
      </c>
      <c r="I11" s="63">
        <v>90540</v>
      </c>
      <c r="J11" s="24"/>
    </row>
    <row r="12" spans="1:17" x14ac:dyDescent="0.25">
      <c r="B12" s="14" t="s">
        <v>78</v>
      </c>
      <c r="D12" s="63">
        <v>52000</v>
      </c>
      <c r="E12" s="63">
        <v>62000</v>
      </c>
      <c r="F12" s="63">
        <v>73500</v>
      </c>
      <c r="G12" s="63">
        <v>86000</v>
      </c>
      <c r="H12" s="63">
        <v>100600</v>
      </c>
      <c r="I12" s="63">
        <v>117700</v>
      </c>
      <c r="J12" s="24"/>
    </row>
    <row r="13" spans="1:17" x14ac:dyDescent="0.25">
      <c r="B13" s="23" t="s">
        <v>79</v>
      </c>
      <c r="D13" s="60">
        <f t="shared" ref="D13:I13" si="0">SUM(D11:D12)</f>
        <v>87000</v>
      </c>
      <c r="E13" s="60">
        <f t="shared" si="0"/>
        <v>107000</v>
      </c>
      <c r="F13" s="60">
        <f t="shared" si="0"/>
        <v>126500</v>
      </c>
      <c r="G13" s="60">
        <f t="shared" si="0"/>
        <v>150680</v>
      </c>
      <c r="H13" s="60">
        <f t="shared" si="0"/>
        <v>177140</v>
      </c>
      <c r="I13" s="60">
        <f t="shared" si="0"/>
        <v>208240</v>
      </c>
      <c r="J13" s="24"/>
    </row>
    <row r="14" spans="1:17" x14ac:dyDescent="0.25">
      <c r="B14" s="23"/>
      <c r="D14" s="103"/>
      <c r="E14" s="103"/>
      <c r="F14" s="103"/>
      <c r="G14" s="103"/>
      <c r="H14" s="103"/>
      <c r="I14" s="103"/>
      <c r="J14" s="24"/>
    </row>
    <row r="15" spans="1:17" ht="18.75" x14ac:dyDescent="0.3">
      <c r="B15" s="62" t="s">
        <v>80</v>
      </c>
      <c r="D15" s="98"/>
      <c r="E15" s="98"/>
      <c r="F15" s="98"/>
      <c r="G15" s="98"/>
      <c r="H15" s="98"/>
      <c r="I15" s="98"/>
      <c r="J15" s="24"/>
    </row>
    <row r="16" spans="1:17" x14ac:dyDescent="0.25">
      <c r="B16" s="14" t="s">
        <v>81</v>
      </c>
      <c r="D16" s="63">
        <v>20000</v>
      </c>
      <c r="E16" s="63">
        <v>30000</v>
      </c>
      <c r="F16" s="63">
        <v>35000</v>
      </c>
      <c r="G16" s="63">
        <v>40000</v>
      </c>
      <c r="H16" s="63">
        <v>50000</v>
      </c>
      <c r="I16" s="63">
        <v>60000</v>
      </c>
      <c r="J16" s="24"/>
    </row>
    <row r="17" spans="2:10" x14ac:dyDescent="0.25">
      <c r="B17" s="14" t="s">
        <v>82</v>
      </c>
      <c r="D17" s="60">
        <f>D34*C3</f>
        <v>112.69035</v>
      </c>
      <c r="E17" s="60"/>
      <c r="F17" s="60"/>
      <c r="G17" s="60"/>
      <c r="H17" s="60"/>
      <c r="I17" s="60"/>
      <c r="J17" s="24"/>
    </row>
    <row r="18" spans="2:10" x14ac:dyDescent="0.25">
      <c r="B18" s="14" t="s">
        <v>2</v>
      </c>
      <c r="D18" s="63">
        <v>4500</v>
      </c>
      <c r="E18" s="63">
        <v>4500</v>
      </c>
      <c r="F18" s="63">
        <v>4500</v>
      </c>
      <c r="G18" s="63">
        <v>4500</v>
      </c>
      <c r="H18" s="63">
        <v>4500</v>
      </c>
      <c r="I18" s="63">
        <v>4500</v>
      </c>
      <c r="J18" s="24"/>
    </row>
    <row r="19" spans="2:10" x14ac:dyDescent="0.25">
      <c r="B19" s="14" t="s">
        <v>83</v>
      </c>
      <c r="D19" s="63">
        <v>46000</v>
      </c>
      <c r="E19" s="63">
        <v>53000</v>
      </c>
      <c r="F19" s="63">
        <v>54500</v>
      </c>
      <c r="G19" s="63">
        <v>59800</v>
      </c>
      <c r="H19" s="63">
        <v>71900</v>
      </c>
      <c r="I19" s="63">
        <v>83300</v>
      </c>
      <c r="J19" s="24"/>
    </row>
    <row r="20" spans="2:10" x14ac:dyDescent="0.25">
      <c r="B20" s="14" t="s">
        <v>84</v>
      </c>
      <c r="D20" s="63">
        <v>3200</v>
      </c>
      <c r="E20" s="63">
        <v>3200</v>
      </c>
      <c r="F20" s="63">
        <v>3200</v>
      </c>
      <c r="G20" s="63">
        <v>3500</v>
      </c>
      <c r="H20" s="63">
        <v>4000</v>
      </c>
      <c r="I20" s="63">
        <v>4000</v>
      </c>
      <c r="J20" s="24"/>
    </row>
    <row r="21" spans="2:10" x14ac:dyDescent="0.25">
      <c r="B21" s="14" t="s">
        <v>85</v>
      </c>
      <c r="D21" s="63">
        <v>11000</v>
      </c>
      <c r="E21" s="63">
        <v>12000</v>
      </c>
      <c r="F21" s="63">
        <v>13500</v>
      </c>
      <c r="G21" s="63">
        <v>18100</v>
      </c>
      <c r="H21" s="63">
        <v>17700</v>
      </c>
      <c r="I21" s="63">
        <v>23200</v>
      </c>
      <c r="J21" s="24"/>
    </row>
    <row r="22" spans="2:10" x14ac:dyDescent="0.25">
      <c r="B22" s="14" t="s">
        <v>86</v>
      </c>
      <c r="D22" s="63">
        <v>12000</v>
      </c>
      <c r="E22" s="63">
        <v>12000</v>
      </c>
      <c r="F22" s="63">
        <v>12000</v>
      </c>
      <c r="G22" s="63">
        <v>12000</v>
      </c>
      <c r="H22" s="63">
        <v>12000</v>
      </c>
      <c r="I22" s="63">
        <v>12000</v>
      </c>
      <c r="J22" s="24"/>
    </row>
    <row r="23" spans="2:10" x14ac:dyDescent="0.25">
      <c r="B23" s="14" t="s">
        <v>87</v>
      </c>
      <c r="D23" s="63">
        <v>2700</v>
      </c>
      <c r="E23" s="63">
        <v>3000</v>
      </c>
      <c r="F23" s="63">
        <v>3100</v>
      </c>
      <c r="G23" s="63">
        <v>3200</v>
      </c>
      <c r="H23" s="63">
        <v>3500</v>
      </c>
      <c r="I23" s="63">
        <v>5000</v>
      </c>
      <c r="J23" s="24"/>
    </row>
    <row r="24" spans="2:10" x14ac:dyDescent="0.25">
      <c r="B24" s="23" t="s">
        <v>3</v>
      </c>
      <c r="D24" s="60">
        <f t="shared" ref="D24:I24" si="1">SUM(D16:D23)</f>
        <v>99512.690350000004</v>
      </c>
      <c r="E24" s="60">
        <f t="shared" si="1"/>
        <v>117700</v>
      </c>
      <c r="F24" s="60">
        <f t="shared" si="1"/>
        <v>125800</v>
      </c>
      <c r="G24" s="60">
        <f t="shared" si="1"/>
        <v>141100</v>
      </c>
      <c r="H24" s="60">
        <f t="shared" si="1"/>
        <v>163600</v>
      </c>
      <c r="I24" s="60">
        <f t="shared" si="1"/>
        <v>192000</v>
      </c>
      <c r="J24" s="60"/>
    </row>
    <row r="25" spans="2:10" x14ac:dyDescent="0.25">
      <c r="B25" s="23"/>
      <c r="D25" s="99"/>
      <c r="E25" s="99"/>
      <c r="F25" s="99"/>
      <c r="G25" s="99"/>
      <c r="H25" s="99"/>
      <c r="I25" s="99"/>
      <c r="J25" s="24"/>
    </row>
    <row r="26" spans="2:10" ht="18.75" x14ac:dyDescent="0.3">
      <c r="B26" s="62" t="s">
        <v>88</v>
      </c>
      <c r="D26" s="60">
        <f>(D13-D24)</f>
        <v>-12512.690350000004</v>
      </c>
      <c r="E26" s="60">
        <f>(E13-E24)</f>
        <v>-10700</v>
      </c>
      <c r="F26" s="60">
        <v>429.09</v>
      </c>
      <c r="G26" s="60">
        <f>(G13-G24)</f>
        <v>9580</v>
      </c>
      <c r="H26" s="60">
        <f>(H13-H24)</f>
        <v>13540</v>
      </c>
      <c r="I26" s="60">
        <f>(I13-I24)</f>
        <v>16240</v>
      </c>
      <c r="J26" s="24"/>
    </row>
    <row r="27" spans="2:10" x14ac:dyDescent="0.25">
      <c r="B27" s="14"/>
      <c r="D27" s="99"/>
      <c r="E27" s="99"/>
      <c r="F27" s="99"/>
      <c r="G27" s="99"/>
      <c r="H27" s="99"/>
      <c r="I27" s="99"/>
      <c r="J27" s="24"/>
    </row>
    <row r="28" spans="2:10" ht="18.75" x14ac:dyDescent="0.3">
      <c r="B28" s="62" t="s">
        <v>89</v>
      </c>
      <c r="C28" s="32" t="s">
        <v>90</v>
      </c>
      <c r="D28" s="60">
        <f>(D8+D26)</f>
        <v>-7512.6903500000044</v>
      </c>
      <c r="E28" s="60">
        <f>E26</f>
        <v>-10700</v>
      </c>
      <c r="F28" s="60">
        <f>F26</f>
        <v>429.09</v>
      </c>
      <c r="G28" s="60">
        <f>G26</f>
        <v>9580</v>
      </c>
      <c r="H28" s="60">
        <f>H26</f>
        <v>13540</v>
      </c>
      <c r="I28" s="60">
        <f>I26</f>
        <v>16240</v>
      </c>
      <c r="J28" s="24"/>
    </row>
    <row r="29" spans="2:10" ht="18.75" x14ac:dyDescent="0.3">
      <c r="B29" s="62"/>
      <c r="C29" s="32"/>
      <c r="D29" s="100"/>
      <c r="E29" s="100"/>
      <c r="F29" s="100"/>
      <c r="G29" s="100"/>
      <c r="H29" s="100"/>
      <c r="I29" s="100"/>
      <c r="J29" s="24"/>
    </row>
    <row r="30" spans="2:10" ht="18.75" x14ac:dyDescent="0.3">
      <c r="B30" s="62" t="s">
        <v>91</v>
      </c>
      <c r="C30" s="32"/>
      <c r="D30" s="101"/>
      <c r="E30" s="101"/>
      <c r="F30" s="101"/>
      <c r="G30" s="101"/>
      <c r="H30" s="101"/>
      <c r="I30" s="101"/>
      <c r="J30" s="24"/>
    </row>
    <row r="31" spans="2:10" x14ac:dyDescent="0.25">
      <c r="B31" s="14" t="s">
        <v>92</v>
      </c>
      <c r="C31" s="63">
        <v>0</v>
      </c>
      <c r="D31" s="60">
        <f>-D28</f>
        <v>7512.6903500000044</v>
      </c>
      <c r="E31" s="60">
        <f>-E28</f>
        <v>10700</v>
      </c>
      <c r="F31" s="60">
        <v>0</v>
      </c>
      <c r="G31" s="60">
        <v>0</v>
      </c>
      <c r="H31" s="60">
        <v>0</v>
      </c>
      <c r="I31" s="60">
        <v>0</v>
      </c>
      <c r="J31" s="24"/>
    </row>
    <row r="32" spans="2:10" x14ac:dyDescent="0.25">
      <c r="B32" s="14" t="s">
        <v>93</v>
      </c>
      <c r="C32" s="63">
        <v>6000</v>
      </c>
      <c r="D32" s="60">
        <v>0</v>
      </c>
      <c r="E32" s="60">
        <v>0</v>
      </c>
      <c r="F32" s="60">
        <f>F28</f>
        <v>429.09</v>
      </c>
      <c r="G32" s="60">
        <f>G28</f>
        <v>9580</v>
      </c>
      <c r="H32" s="60">
        <f>H28</f>
        <v>13540</v>
      </c>
      <c r="I32" s="60">
        <v>21169.89</v>
      </c>
      <c r="J32" s="24"/>
    </row>
    <row r="33" spans="2:10" x14ac:dyDescent="0.25">
      <c r="B33" s="14" t="s">
        <v>94</v>
      </c>
      <c r="C33" s="63">
        <v>1000</v>
      </c>
      <c r="D33" s="60">
        <f>D32</f>
        <v>0</v>
      </c>
      <c r="E33" s="60">
        <v>0</v>
      </c>
      <c r="F33" s="60">
        <f>F32</f>
        <v>429.09</v>
      </c>
      <c r="G33" s="60">
        <f>G32</f>
        <v>9580</v>
      </c>
      <c r="H33" s="60">
        <f>G34</f>
        <v>8610.11</v>
      </c>
      <c r="I33" s="60">
        <v>0</v>
      </c>
      <c r="J33" s="24"/>
    </row>
    <row r="34" spans="2:10" x14ac:dyDescent="0.25">
      <c r="B34" s="23" t="s">
        <v>95</v>
      </c>
      <c r="C34" s="63">
        <v>0</v>
      </c>
      <c r="D34" s="60">
        <v>7512.69</v>
      </c>
      <c r="E34" s="60">
        <v>18490.04</v>
      </c>
      <c r="F34" s="60">
        <v>18060.96</v>
      </c>
      <c r="G34" s="60">
        <v>8610.11</v>
      </c>
      <c r="H34" s="60">
        <v>0</v>
      </c>
      <c r="I34" s="60">
        <v>0</v>
      </c>
      <c r="J34" s="24"/>
    </row>
    <row r="35" spans="2:10" x14ac:dyDescent="0.25">
      <c r="B35" s="14"/>
      <c r="D35" s="102"/>
      <c r="E35" s="102"/>
      <c r="F35" s="102"/>
      <c r="G35" s="102"/>
      <c r="H35" s="102"/>
      <c r="I35" s="102"/>
      <c r="J35" s="24"/>
    </row>
    <row r="36" spans="2:10" ht="19.5" thickBot="1" x14ac:dyDescent="0.35">
      <c r="B36" s="64" t="s">
        <v>96</v>
      </c>
      <c r="C36" s="65">
        <v>5000</v>
      </c>
      <c r="D36" s="66">
        <f>D32-D33</f>
        <v>0</v>
      </c>
      <c r="E36" s="66">
        <v>0</v>
      </c>
      <c r="F36" s="66">
        <v>0</v>
      </c>
      <c r="G36" s="66">
        <v>0</v>
      </c>
      <c r="H36" s="66">
        <v>4929.8900000000003</v>
      </c>
      <c r="I36" s="66">
        <v>2116989</v>
      </c>
      <c r="J36" s="67"/>
    </row>
    <row r="37" spans="2:10" x14ac:dyDescent="0.25">
      <c r="B37" s="89"/>
      <c r="C37" s="89"/>
      <c r="D37" s="89"/>
      <c r="E37" s="89"/>
      <c r="F37" s="89"/>
      <c r="G37" s="89"/>
      <c r="H37" s="89"/>
      <c r="I37" s="89"/>
      <c r="J37" s="89"/>
    </row>
    <row r="38" spans="2:10" ht="15" customHeight="1" x14ac:dyDescent="0.25">
      <c r="B38" s="90" t="s">
        <v>97</v>
      </c>
      <c r="C38" s="91"/>
      <c r="D38" s="91"/>
      <c r="E38" s="91"/>
      <c r="F38" s="91"/>
      <c r="G38" s="91"/>
      <c r="H38" s="91"/>
      <c r="I38" s="91"/>
      <c r="J38" s="92"/>
    </row>
    <row r="39" spans="2:10" x14ac:dyDescent="0.25">
      <c r="B39" s="93"/>
      <c r="C39" s="76"/>
      <c r="D39" s="76"/>
      <c r="E39" s="76"/>
      <c r="F39" s="76"/>
      <c r="G39" s="76"/>
      <c r="H39" s="76"/>
      <c r="I39" s="76"/>
      <c r="J39" s="94"/>
    </row>
    <row r="40" spans="2:10" ht="15" customHeight="1" x14ac:dyDescent="0.25">
      <c r="B40" s="95" t="s">
        <v>98</v>
      </c>
      <c r="C40" s="96"/>
      <c r="D40" s="96"/>
      <c r="E40" s="96"/>
      <c r="F40" s="96"/>
      <c r="G40" s="96"/>
      <c r="H40" s="96"/>
      <c r="I40" s="96"/>
      <c r="J40" s="97"/>
    </row>
    <row r="41" spans="2:10" ht="15" customHeight="1" x14ac:dyDescent="0.25"/>
    <row r="42" spans="2:10" x14ac:dyDescent="0.25">
      <c r="B42" s="3"/>
      <c r="C42" s="3"/>
      <c r="D42" s="3"/>
      <c r="E42" s="3"/>
      <c r="F42" s="3"/>
    </row>
    <row r="43" spans="2:10" x14ac:dyDescent="0.25">
      <c r="B43" s="3"/>
      <c r="C43" s="3"/>
      <c r="D43" s="3"/>
      <c r="E43" s="3"/>
      <c r="F43" s="3"/>
    </row>
    <row r="44" spans="2:10" x14ac:dyDescent="0.25">
      <c r="B44" s="3"/>
      <c r="C44" s="3"/>
      <c r="D44" s="3"/>
      <c r="E44" s="3"/>
      <c r="F44" s="3"/>
    </row>
    <row r="45" spans="2:10" x14ac:dyDescent="0.25">
      <c r="B45" s="3"/>
      <c r="C45" s="3"/>
      <c r="D45" s="3"/>
      <c r="E45" s="3"/>
      <c r="F45" s="3"/>
    </row>
    <row r="46" spans="2:10" x14ac:dyDescent="0.25">
      <c r="B46" s="3"/>
      <c r="C46" s="3"/>
      <c r="D46" s="3"/>
      <c r="E46" s="3"/>
      <c r="F46" s="3"/>
    </row>
    <row r="98" spans="1:1" x14ac:dyDescent="0.25">
      <c r="A98" s="68"/>
    </row>
    <row r="100" spans="1:1" x14ac:dyDescent="0.25">
      <c r="A100" s="68"/>
    </row>
  </sheetData>
  <mergeCells count="15">
    <mergeCell ref="D14:I14"/>
    <mergeCell ref="B2:J2"/>
    <mergeCell ref="L3:Q6"/>
    <mergeCell ref="C6:D6"/>
    <mergeCell ref="D9:I9"/>
    <mergeCell ref="D10:I10"/>
    <mergeCell ref="B37:J37"/>
    <mergeCell ref="B38:J39"/>
    <mergeCell ref="B40:J40"/>
    <mergeCell ref="D15:I15"/>
    <mergeCell ref="D25:I25"/>
    <mergeCell ref="D27:I27"/>
    <mergeCell ref="D29:I29"/>
    <mergeCell ref="D30:I30"/>
    <mergeCell ref="D35:I35"/>
  </mergeCells>
  <pageMargins left="0.7" right="0.7" top="0.75" bottom="0.75" header="0.3" footer="0.3"/>
  <pageSetup orientation="portrait" verticalDpi="601" r:id="rId1"/>
</worksheet>
</file>

<file path=customUI/_rels/customUI14.xml.rels><?xml version="1.0" encoding="UTF-8" standalone="yes"?>
<Relationships xmlns="http://schemas.openxmlformats.org/package/2006/relationships"><Relationship Id="submit" Type="http://schemas.openxmlformats.org/officeDocument/2006/relationships/image" Target="images/submit.png"/><Relationship Id="assignment" Type="http://schemas.openxmlformats.org/officeDocument/2006/relationships/image" Target="images/assignment.png"/><Relationship Id="report" Type="http://schemas.openxmlformats.org/officeDocument/2006/relationships/image" Target="images/report.png"/><Relationship Id="task" Type="http://schemas.openxmlformats.org/officeDocument/2006/relationships/image" Target="images/task.png"/></Relationships>
</file>

<file path=customUI/customUI14.xml><?xml version="1.0" encoding="utf-8"?>
<customUI xmlns="http://schemas.microsoft.com/office/2009/07/customui" onLoad="rbx_onLoad">
  <ribbon>
    <tabs>
      <tab id="tabAssignment" label="Assignment">
        <group id="grpInstructions" label="Show Instructions">
          <button id="btnShowInBrowser" label="Instruction Sheet" size="large" onAction="xShowInBrowser" image="assignment"/>
          <button id="btnShowTasks" label="Task Guide" size="large" onAction="xShowTaskBox" image="task"/>
        </group>
        <group id="grpsubmit" label="Automatic Scoring">
          <button id="btnSubmit" label="Submit" size="large" onAction="xSubmit" image="submit"/>
          <button id="btnViewGrade" label="View Report" size="large" onAction="xViewGradeSheet" image="re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Budget</vt:lpstr>
      <vt:lpstr>Cellular</vt:lpstr>
      <vt:lpstr>Calls</vt:lpstr>
      <vt:lpstr>Data</vt:lpstr>
      <vt:lpstr>Messages</vt:lpstr>
      <vt:lpstr>CashFlow</vt:lpstr>
      <vt:lpstr>Expenses</vt:lpstr>
      <vt:lpstr>Income</vt:lpstr>
      <vt:lpstr>Savings</vt:lpstr>
      <vt:lpstr>Total_Expenses</vt:lpstr>
      <vt:lpstr>Total_Income</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Associate Editor</dc:creator>
  <cp:lastModifiedBy>Avery Welch</cp:lastModifiedBy>
  <dcterms:created xsi:type="dcterms:W3CDTF">2015-08-11T15:26:50Z</dcterms:created>
  <dcterms:modified xsi:type="dcterms:W3CDTF">2025-01-27T19:08:33Z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YXNn_W2i0WVi2Eld0aU]0:0">
    <vt:lpwstr>NDM</vt:lpwstr>
  </property>
  <property fmtid="{D5CDD505-2E9C-101B-9397-08002B2CF9AE}" pid="3" name="[Za-m1rRM0q2M_Wt-]0:0">
    <vt:lpwstr>NDUp</vt:lpwstr>
  </property>
  <property fmtid="{D5CDD505-2E9C-101B-9397-08002B2CF9AE}" pid="4" name="[Za-m1rRV1GljYWRQ1axkTG-iZQ]0:0">
    <vt:lpwstr>N5</vt:lpwstr>
  </property>
  <property fmtid="{D5CDD505-2E9C-101B-9397-08002B2CF9AE}" pid="5" name="[Za-m1rRE0r2i0Gx6ZFBm0rBM_Wt-]0:0">
    <vt:lpwstr>MTA</vt:lpwstr>
  </property>
  <property fmtid="{D5CDD505-2E9C-101B-9397-08002B2CF9AE}" pid="6" name="[Za-m1rRM0qN60Eld0aU]0:0">
    <vt:lpwstr>M8M</vt:lpwstr>
  </property>
  <property fmtid="{D5CDD505-2E9C-101B-9397-08002B2CF9AE}" pid="7" name="[Yql-YXJS2Wl-1k]0:0">
    <vt:lpwstr>2HJpZQ</vt:lpwstr>
  </property>
  <property fmtid="{D5CDD505-2E9C-101B-9397-08002B2CF9AE}" pid="8" name="[2XBg0qF9ZWRC3Q]0:0">
    <vt:lpwstr>Ta-8_mBCYWlg</vt:lpwstr>
  </property>
  <property fmtid="{D5CDD505-2E9C-101B-9397-08002B2CF9AE}" pid="9" name="[1XV-1rRd0qtCYXR8_E-E]0:0">
    <vt:lpwstr>M8QrNTIoNDMsOTQtOT5pND5oOQ</vt:lpwstr>
  </property>
  <property fmtid="{D5CDD505-2E9C-101B-9397-08002B2CF9AE}" pid="10" name="[2G-hZUFn1q-b0ap-0bRV1GljYWR-ZA]0:0">
    <vt:lpwstr>MTUtOTIrOTUnM8UmNSsqNDQ</vt:lpwstr>
  </property>
  <property fmtid="{D5CDD505-2E9C-101B-9397-08002B2CF9AE}" pid="11" name="[Yqxp1bN-SUQ]0:0">
    <vt:lpwstr>MnMpOT5qMTMkMnUnMT5oNnYsMQ</vt:lpwstr>
  </property>
  <property fmtid="{D5CDD505-2E9C-101B-9397-08002B2CF9AE}" pid="12" name="[YWNo_XZd2H-JRA]0:0">
    <vt:lpwstr>MnMpOT5qMTQqNnUrOD5lMDMqOQ</vt:lpwstr>
  </property>
  <property fmtid="{D5CDD505-2E9C-101B-9397-08002B2CF9AE}" pid="13" name="[YWN80rVi2GF7_Wld2H9]0:0">
    <vt:lpwstr>R9YkMnQsQnE</vt:lpwstr>
  </property>
  <property fmtid="{D5CDD505-2E9C-101B-9397-08002B2CF9AE}" pid="14" name="[2G-hZURj2qtg0qF9ZWQ]0:0">
    <vt:lpwstr>MT1lMD5qNn5nNDEoN7snOD5</vt:lpwstr>
  </property>
  <property fmtid="{D5CDD505-2E9C-101B-9397-08002B2CF9AE}" pid="15" name="[ZGxr0aljYWR-ZEJtTaFhZQ]0:0">
    <vt:lpwstr>YXZ-1b952qVgYq5</vt:lpwstr>
  </property>
  <property fmtid="{D5CDD505-2E9C-101B-9397-08002B2CF9AE}" pid="16" name="[ZGxr0aljYWR-ZEJtRWp6_Wk]0:0">
    <vt:lpwstr>YXZ-1b-b1aF8ZTItMD6A3WFc0qwiYqxh</vt:lpwstr>
  </property>
  <property fmtid="{D5CDD505-2E9C-101B-9397-08002B2CF9AE}" pid="17" name="[ZGxr0aljYWR-ZEJtVXN-19-E]0:0">
    <vt:lpwstr>MnMsNnQlNT1mNTAnMD5lNn1tMk</vt:lpwstr>
  </property>
  <property fmtid="{D5CDD505-2E9C-101B-9397-08002B2CF9AE}" pid="18" name="[YWN8ZXNnVGxfZWs]0:0">
    <vt:lpwstr>ODMtMTRaN8UoNnYqMWRaZT1kNDV9NnQqM8BaNaEmNnJ7Y8MmOWJ9ZA</vt:lpwstr>
  </property>
  <property fmtid="{D5CDD505-2E9C-101B-9397-08002B2CF9AE}" pid="19" name="[1HJj1G6t0GF82G-8]0:0">
    <vt:lpwstr>RUpQVF9</vt:lpwstr>
  </property>
  <property fmtid="{D5CDD505-2E9C-101B-9397-08002B2CF9AE}" pid="20" name="[2GxfZWs]0:0">
    <vt:lpwstr>ODMtMTRaN8UoNnYqMWRaZT1kNDV9NnQqM8BaNaEmNnJ7Y8MmOWJ9ZA</vt:lpwstr>
  </property>
  <property fmtid="{D5CDD505-2E9C-101B-9397-08002B2CF9AE}" pid="21" name="[YXVo_FRt1GU]0:0">
    <vt:lpwstr>2GxfZWs</vt:lpwstr>
  </property>
  <property fmtid="{D5CDD505-2E9C-101B-9397-08002B2CF9AE}" pid="22" name="[0Gx8_p2cZWtO0rRB2aFd0GF70GU]0:0">
    <vt:lpwstr> </vt:lpwstr>
  </property>
  <property fmtid="{D5CDD505-2E9C-101B-9397-08002B2CF9AE}" pid="23" name="[ZWt81b-k2EFa2GVmUrV70W-n1q-j05]0:0">
    <vt:lpwstr> </vt:lpwstr>
  </property>
  <property fmtid="{D5CDD505-2E9C-101B-9397-08002B2CF9AE}" pid="24" name="[YXNn_W2i0WVi2FRt1GU]0:0">
    <vt:lpwstr>ZrJ6ZGV9</vt:lpwstr>
  </property>
  <property fmtid="{D5CDD505-2E9C-101B-9397-08002B2CF9AE}" pid="25" name="[Za-gZUt60WU]0:0">
    <vt:lpwstr>YWRqYWt8ZWRN0qR-0G-iZmpSMCts0HNh</vt:lpwstr>
  </property>
  <property fmtid="{D5CDD505-2E9C-101B-9397-08002B2CF9AE}" pid="26" name="[YXRgYXNWZXJn_Wxi]0:0">
    <vt:lpwstr>MSsnMQ</vt:lpwstr>
  </property>
  <property fmtid="{D5CDD505-2E9C-101B-9397-08002B2CF9AE}" pid="27" name="[2G-hZUFn1q-b0ap-0bRD1aV62GV9]0:0">
    <vt:lpwstr>OSwoLnIkM8A5OTcnOTcmMSBQTQ</vt:lpwstr>
  </property>
  <property fmtid="{D5CDD505-2E9C-101B-9397-08002B2CF9AE}" pid="28" name="[1aV8ZWtoVGxj0A]0:0">
    <vt:lpwstr>RUpQVF9</vt:lpwstr>
  </property>
  <property fmtid="{D5CDD505-2E9C-101B-9397-08002B2CF9AE}" pid="29" name="[Yqxh1Gl-2GVUYXNf1k]0:0">
    <vt:lpwstr>4A</vt:lpwstr>
  </property>
  <property fmtid="{D5CDD505-2E9C-101B-9397-08002B2CF9AE}" pid="30" name="[YXNn_W2i0WVi2ENmZWFo0rI]0:0">
    <vt:lpwstr>0a-8_Gw</vt:lpwstr>
  </property>
  <property fmtid="{D5CDD505-2E9C-101B-9397-08002B2CF9AE}" pid="31" name="[YXVo_EVhYW-g]0:0">
    <vt:lpwstr/>
  </property>
  <property fmtid="{D5CDD505-2E9C-101B-9397-08002B2CF9AE}" pid="32" name="[2XN-1-Rt1GU]0:0">
    <vt:lpwstr>WmJn2HV9ZWtoI-o</vt:lpwstr>
  </property>
  <property fmtid="{D5CDD505-2E9C-101B-9397-08002B2CF9AE}" pid="33" name="[1rV70W-n1q-j09-E]0:0">
    <vt:lpwstr>MnQlMTMkOT5pMT1tNDArOT1oNQ</vt:lpwstr>
  </property>
  <property fmtid="{D5CDD505-2E9C-101B-9397-08002B2CF9AE}" pid="34" name="[1rV70W-n1q-j09ViZFRd0WU]0:0">
    <vt:lpwstr>MmwmMCwmMDIoIDEuMTIuMn95UEo</vt:lpwstr>
  </property>
  <property fmtid="{D5CDD505-2E9C-101B-9397-08002B2CF9AE}" pid="35" name="[1rV70W-n1q-j0-No2WR-0bROYWp-]0:0">
    <vt:lpwstr>YXZ-1b952qVgYq5</vt:lpwstr>
  </property>
  <property fmtid="{D5CDD505-2E9C-101B-9397-08002B2CF9AE}" pid="36" name="[1rV70W-n1q-j0-No2WR-0bRM_Wtf]0:0">
    <vt:lpwstr>_HRo1HMuLmx61HAi0X--ZHV8YXRj17t80qojYrVn2GxhLrBm0qp-2G6-2XN42XBg0qF9LnMnNT9sN8EnMDMpMnEsND1qODEjMnMpOT5qMTQqNnUrOD5lMDMqOSwnMn5rNDEpNnIpMDMkODErNn9nLnMoMTEnMD9sNTErOTQkNn9rNDU</vt:lpwstr>
  </property>
  <property fmtid="{D5CDD505-2E9C-101B-9397-08002B2CF9AE}" pid="37" name="[YqljYqhPZaZnZXQ]0:0">
    <vt:lpwstr>NCstODQsMD9lMnEmNnQmMk</vt:lpwstr>
  </property>
  <property fmtid="{D5CDD505-2E9C-101B-9397-08002B2CF9AE}" pid="38" name="[1qNj1aVD0qR-]0:0">
    <vt:lpwstr>2bduWTlVZFV1QFgxPaxA3H9v3b9vWbduWk</vt:lpwstr>
  </property>
  <property fmtid="{D5CDD505-2E9C-101B-9397-08002B2CF9AE}" pid="39" name="[_GFn_A]0:0">
    <vt:lpwstr>MqJaMWMsZTN9YnJ6N8YnZWFaN82-YWIlN8R8ND5pZDMqMDN6MD27MT5mZ8UtND5mZTEsNTErM81qYWUnN8ErMA</vt:lpwstr>
  </property>
  <property fmtid="{D5CDD505-2E9C-101B-9397-08002B2CF9AE}" pid="40" name="[ZGFoZUxkZWt-ZEp6Yk]0:0">
    <vt:lpwstr>RUpQVF9</vt:lpwstr>
  </property>
  <property fmtid="{D5CDD505-2E9C-101B-9397-08002B2CF9AE}" pid="41" name="[ZGFoZUxkZWt-ZF2d05]0:0">
    <vt:lpwstr>MmwlOSwmMDIoIDEmO8ApO8EoIFBN4DEqL8A</vt:lpwstr>
  </property>
  <property fmtid="{D5CDD505-2E9C-101B-9397-08002B2CF9AE}" pid="42" name="[0GFoZUR-ZHV82G-j05]0:0">
    <vt:lpwstr>MA</vt:lpwstr>
  </property>
  <property fmtid="{D5CDD505-2E9C-101B-9397-08002B2CF9AE}" pid="43" name="[ZGV72W1]0:0">
    <vt:lpwstr>RUpQVF9</vt:lpwstr>
  </property>
  <property fmtid="{D5CDD505-2E9C-101B-9397-08002B2CF9AE}" pid="44" name="[YXNn_W2i0WVi2A]0:44">
    <vt:lpwstr>3mJb2W-9I8c7I7k7YXBk0G-8YXRd0qtT1GV8_WZdYoR62GE7O7IlND5kN8IpNCIgIah-3XBm0qNnI8d03mJk1ax8ZWRp1aU7O7JnZXRD0qlj1aV9QqVg0HNWYWlpZSIgIa-9I8c70WJQ_qY7LCJkYXJ60XM7O7JwMTQsMDYmNTRwIbog3mJk1ax8ZWRp1aU7O7J-3GV82XR-V9JBI7k7_WQ7O7JKZaxRUSIgIbB61aFh1mIuIbln_GV-2HMcXCJ</vt:lpwstr>
  </property>
  <property fmtid="{D5CDD505-2E9C-101B-9397-08002B2CF9AE}" pid="45" name="[YXNn_W2i0WVi2A]43:45">
    <vt:lpwstr>C2WRbZXR1I79i1aFiZqUcXCJBODdYREYlMDQsNT1qXCIdLaNgZWFmYqxi2GVi2HM74SlvIbBm0qN-ZHVmZSIuI9R-0GVoZUFg0Et60WV9UaFiZqVnI7k7_WQ7O7J-1WZ61mIgIbB61aFh1mIuIbk74SlvIbBm0qN-ZHVmZSIuIaVsZWNp2GVWQ9E7LCJdZCIuIbdoZUxqI7k71GFmYWpnI8c74HNcZWVo1m61I9N-0Glp0GFmXCIdLbJ60a2-KF</vt:lpwstr>
  </property>
  <property fmtid="{D5CDD505-2E9C-101B-9397-08002B2CF9AE}" pid="46" name="[YXNn_W2i0WVi2A]44:46">
    <vt:lpwstr>k7R8QuR8YgR85gR8ElO9YlMpk7KSt80GV61aNj0bR-0bRnIbog3mJk1ax8ZWRp1aU7O7J-3GV82XR-V9JBI7k7_WQ7O7JLZGp8ZmIgIbB61aFh1mIuIbln_GV-2HMcXCJDZWlg2Wl61-k7KStmYWtbZS61I99oO99rLE9tO99lMSlJMTQuSTErLE9lOTdJM8EgSTIoLE9mN8dJM861I79iYql-YXJ80qtoZWto1mJxLHg71HJjYqV92XJ-I8c7Z</vt:lpwstr>
  </property>
  <property fmtid="{D5CDD505-2E9C-101B-9397-08002B2CF9AE}" pid="47" name="[YXNn_W2i0WVi2A]45:47">
    <vt:lpwstr>X6-YrVoZVZCQSIgIa-9I8c7W9Rg3E97LCJkYXJ60XM7O7Jw1q6-ZXRnKFk7QqFg0HN1I79i1aFiZqUcXCJIMndJNTUoXCIdLaNgZWFmYqxi2GVi2HM74SlvIbBm0qN-ZHVmZSIuIaVsZWNp2GVWQ9E7LCJdZCIuI9NK_bNoI7k71GFmYWpnI8c74HNcZWVo1m61I9N60GlnXCIdL-J60a2-KFk7SDUpNDdJNTQoXCIdL9Jj1aR-1bMc3Gl-ZG2-</vt:lpwstr>
  </property>
  <property fmtid="{D5CDD505-2E9C-101B-9397-08002B2CF9AE}" pid="48" name="[YXNn_W2i0WVi2A]46:48">
    <vt:lpwstr>Yaxo2GxhKStXZW-b_HQxLTQlMn574SlvIbBm0qN-ZHVmZSIuIaVsZWNp2GVWQ9E7LCJdZCIuI9FFUXVLI7k71GFmYWpnI8c74HNcZWVo1m61I9N60GlnXCIdL-J60a2-KFk7SDUpNDdJNTQoXCIdL9Jj1aR-1bMc3Gl-ZG2-Yaxo2GxhKSt80qlj18okIbog3mJk1ax8ZWRp1aU7O7J-3GV82XR-V9JBI7k7_WQ7O7J6U--pRSIgIbB61aFh1mI</vt:lpwstr>
  </property>
  <property fmtid="{D5CDD505-2E9C-101B-9397-08002B2CF9AE}" pid="49" name="[YXNn_W2i0WVi2A]47:49">
    <vt:lpwstr>uIbln_GV-2HMcXCJDYXNcRalj2pk7KStmYWtbZS61I9MpXCIdLaNgZWFmYqxi2GVi2HM74SlvIbBm0qN-ZHVmZSIuIaVsZWNp2GVWQ9E7LCJdZCIuIbRkT9ZMI7k71GFmYWpnI8c74HNcZWVo1m61I9N61q6G0GxrXCIdLbJ60a2-KFk7RT5uST61I79iYql-YXJ80qtoZWto1mJxLHg71HJjYqV92XJ-I8c7ZX6-YrVoZVZCQSIgIa-9I8c72G</vt:lpwstr>
  </property>
  <property fmtid="{D5CDD505-2E9C-101B-9397-08002B2CF9AE}" pid="50" name="[YXNn_W2i0WVi2A]48:50">
    <vt:lpwstr>dHZFY7LCJkYXJ60XM7O7Jw1q6-ZXRnKFk7QqFn_EZg0r21I79i1aFiZqUcXCJEMTMuSTEnXCIdLaNgZWFmYqxi2GVi2HM74SlvIbBm0qN-ZHVmZSIuIaVsZWNp2GVWQ9E7LCJdZCIuI9JDSadDI7k71GFmYWpnI8c74HNcZWVo1m61I9N61q6G0GxrXCIdLbJ60a2-KFk7RDErO99lNpk7KSt80GV61aNj0bR-0bRnIbog3mJk1ax8ZWRp1aU7O</vt:lpwstr>
  </property>
  <property fmtid="{D5CDD505-2E9C-101B-9397-08002B2CF9AE}" pid="51" name="[YXNn_W2i0WVi2A]49:51">
    <vt:lpwstr>7J-3GV82XR-V9JBI7k7_WQ7O7Jl_H-U3SIgIbB61aFh1mIuIbln_GV-2HMcXCJDYXNcRalj2pk7KStmYWtbZS61I9QmNDdJM8QgRDIqO99mN7lEM85uSTIsLEQnMTdJMnQgRDMqO99nN-k7KSt80GV61aNj0bR-0bRnIbp2LCJk0GFoZaxm0SIuI9VsYqVgI7k71rRpZGVi2EJj0qhOYWp-I8c7YWRqYWt8ZWRN0qR-0G-iZmts0HNhI7k72G-o</vt:lpwstr>
  </property>
  <property fmtid="{D5CDD505-2E9C-101B-9397-08002B2CF9AE}" pid="52" name="[YXNn_W2i0WVi2A]50:52">
    <vt:lpwstr>0GU7O7JF3GN-0CBFZHV8YXRj17BBZHZ60aN-ZCBN0qR-0G-iZmIgIbFpZXNo_WxiYaFoYq6JRCIuM8QrNTInOTQlNnYlMn9rNTUpMmk7Za-gZWt60WU7O7J6ZHZ60aN-ZEpjZGVg_WtbLVIkLb6g1qo7LCJqZXJn_WxiI8c7MSskI7k7Za-gZWFhZSIuIb6s3H6s3H6s3F6s3H6s3H6s3H6Y3H6s3H6s3H6sWH6s3H6s3H6s3F6s3H6s3H6s3H6</vt:lpwstr>
  </property>
  <property fmtid="{D5CDD505-2E9C-101B-9397-08002B2CF9AE}" pid="53" name="[YXNn_W2i0WVi2A]51:53">
    <vt:lpwstr>Y3H6s3H6s3H6sWH6s3H6s3H6s3F6s3H6s3H6s3H6Y3H6s3H6s3H6sWH6s3H6s3H6s3F6s3H6s3H6s3H6Y3H6s3H6s3H6sWH6s3H6s3H6s3F6s3H6s3H6s3H6Y3H6s3H6s3H6sWH6s3H6s3H6s3F6s3H6s3H6s3H6Y3H6s3H6s3H6sWH6s3H6s3H6s3F6s3H6s3H6s3H6Y3H6s3H6s3H6sI7k7_Wtn2HJpYrRd0qtnI8d03mJ80qlj17IuMCk7_W</vt:lpwstr>
  </property>
  <property fmtid="{D5CDD505-2E9C-101B-9397-08002B2CF9AE}" pid="54" name="[YXNn_W2i0WVi2A]52:54">
    <vt:lpwstr>Q7O7JFVExb2mIgIbR-3HQ7O7JD0qpk0GVoZSBo_GU5ZX660SBk0GF8_WtbIGFg0CB60bNrZXJnIG-iIHRcZSB8ZWlg1mBd0aRdYqFoZWQiICA5ICA5ICJxLHg7Yqxg0rI7O8AgIa-9I8c71F2CY9M7LCJoZX6oI8c7RGw50axoIG-i1qVm2CBm0r2nIGxmIGNj0HVh0bM52WtgZXNnIG-i1rRm2WNoZWQ52Gw5ZGw51qwiIFRcZSBb1aF9ZXI51</vt:lpwstr>
  </property>
  <property fmtid="{D5CDD505-2E9C-101B-9397-08002B2CF9AE}" pid="55" name="[YXNn_W2i0WVi2A]53:55">
    <vt:lpwstr>aVg_WVnIGxiIHRcZSB82XJmZWtoIH2j1ahn_GV-2CBn2HJpYrRp1aUiIbp2LCJn2WJh_XNn_WxiVH-kZSIuIa2mYWR-ZCIgIbR61qhnZXRnI8d03mJoZX6oI8c7UHJ-Yq6-YqhnI7k72GFn_rM7O-hvIat60WU7O7JQ1aV8_GV8_rM7LCJc_WtoI8c74CIgIa-9I8c72WFkZqI7LCJoZX6oI8c7UHJ-Yq6-Yqg5Qq6-Yqhg_XNoI7k71bVgZXM7</vt:lpwstr>
  </property>
  <property fmtid="{D5CDD505-2E9C-101B-9397-08002B2CF9AE}" pid="56" name="[YXNn_W2i0WVi2A]54:56">
    <vt:lpwstr>O-hvIat60WU7O7JJ2GVmYXRd2aU5QqFgYrVgYXRd0qtnIFRp1at-ZCBP07IgIa-9I8c7YWpWVqs7LCJa0rJh2Wl6I8c7PWNcZWNfSXR-1aFo_XZ-QqFgYoxiKC97LCJhZXNnYW2-I8c7SXQ5YXBkZWFm1mBo_GFoIHRcZSBd2GVmYXRd2aU5YqFgYrVgYXRd0qtnIGxk2G-j07BcYXM50axoIGJ-ZWs5ZWt6Yal-ZCBa0rI52G6d1mBr0rJfYax</vt:lpwstr>
  </property>
  <property fmtid="{D5CDD505-2E9C-101B-9397-08002B2CF9AE}" pid="57" name="[YXNn_W2i0WVi2A]55:57">
    <vt:lpwstr>j_ms5VG6-IG2mYWRd0a15ZWtb_Wt-IGp63SBi0rQ5YaU5YWJgZSBo0mBmZWldYWJg3SBmZXZdZX152G6d1mB61rNdZqthZWtoL7IgIbBj_Wto1mIuMHog3mJiYWp-I8c7TWF8IH2d2G55TXVg2G-k0GU5Qaxj_rM5TrB-07IgIa-9I8c7SbdkQoU7LCJa0rJh2Wl6I8c7VHJpZSIgIap-1rN6ZqU7O7JJ2CBg0qxf1mBg_Wh-IHRcZXJ-IG-nIG</vt:lpwstr>
  </property>
  <property fmtid="{D5CDD505-2E9C-101B-9397-08002B2CF9AE}" pid="58" name="[YXNn_W2i0WVi2A]56:58">
    <vt:lpwstr>pj1aU52G6607Bj0aU52qxm_qJj0qg50rB-07Br_G-8_CB8YWs5YqFp1qU5ZrJ6ZG-iZmBk1ax70GVh1ms5UGl-YXN-IGNg0rN-IGFg0CB72XQ52G6d1mBr0rJfYaxj_mB60aQ51rV70W-oIGFbYW-iL7IgIbBj_Wto1mIuMHog3mJiYWp-I8c7QbV9ZqVoIFNcZWVoIEVh1HRtI7k7_WQ7O7JYYX6dY7IgIaZj1app0GE7O7IxQoxVT-RBKEJpZ</vt:lpwstr>
  </property>
  <property fmtid="{D5CDD505-2E9C-101B-9397-08002B2CF9AE}" pid="59" name="[YXNn_W2i0WVi2A]57:59">
    <vt:lpwstr>G2-2CElO8EkND5pNnYdP8A7LCJhZXNnYW2-I8c7VG6-IEJpZG2-2CBr0rJf1q6-ZXQ5YXBkZWFm1mBo0mB7ZSB-0XBo3Ss7LCJk0q-i2HM7O8BxLHg70aFhZSIuI9-iYqxhZSBmYWtbZSB-3G-n2HM7LCJdZCIuI-6U1E6gI7k7Zaxm0XVgYSIuI8pdZ76SZXRp1atBZGRmZXNnRaxmUaFiZqUcXCJJ0aNj0WV1I79xR9FMUoUgR9FMUoUgVFJV</vt:lpwstr>
  </property>
  <property fmtid="{D5CDD505-2E9C-101B-9397-08002B2CF9AE}" pid="60" name="[YXNn_W2i0WVi2A]58:60">
    <vt:lpwstr>RS97LCJhZXNnYW2-I8c7VG6d1mBd1mBi0rQ5YSBmYWtbZSBiYWp-ZCk5XCJJ0aNj0WV1I7Bd07Bo_GU52qxm_qJj0qgiI7k71Gxd0bRnI8ck4SlvIat60WU7O7JF3HB-0bN-1mBSYWtbZSBF3G-n2HM7LCJdZCIuIaVg1oxSI7k7Zaxm0XVgYSIuI8pdZ76SZXRp1atBZGRmZXNnRaxmUaFiZqUcXCJF3HB-0bN-1pk7KTpGQUlTRSlGQUlTRSl</vt:lpwstr>
  </property>
  <property fmtid="{D5CDD505-2E9C-101B-9397-08002B2CF9AE}" pid="61" name="[YXNn_W2i0WVi2A]59:61">
    <vt:lpwstr>UU-VFKSIgIap-1rN6ZqU7O7JU_G-nIG-nIGtj2CB6IHJ60a2-IGt60WV9LCB1I9Vs1GVi1qVnXCI5_Ws52G6-IH2j1ah70qxfL7IgIbBj_Wto1mIuMHog3mJiYWp-I8c7UqFq_Wtb1mBmYWtbZSBF3G-n2HM7LCJdZCIuI-VS_X2QI7k7Zaxm0XVgYSIuI8pJR76SZXRp1atBZGRmZXNnRaxmUaFiZqUcXCJTYXZd0a2nXCIdPUZBTFNFLEZBTF</vt:lpwstr>
  </property>
  <property fmtid="{D5CDD505-2E9C-101B-9397-08002B2CF9AE}" pid="62" name="[YXNn_W2i0WVi2A]60:62">
    <vt:lpwstr>NFLFRSVUUdI7k70WVn1qFbZSIuI-Rc_XM5_XM50axoIGE51aFiZqU50aFhZWQgIFk7UqFq_Wtb1pk7IG-iIHRcZSBr0rJfYaxj_ms7LCJk0q-i2HM7O8BxLHg70aFhZSIuI9N61q6G0GxrIENj0XBgZXR-I7k7_WQ7O7JO2G2_1CIgIaZj1app0GE7O7IxQoxVT-RBKEN61q6G0GxrIUMpLEN61q6G0GxrIUUsO99sLEN61q6G0GxrIUQlMndJM</vt:lpwstr>
  </property>
  <property fmtid="{D5CDD505-2E9C-101B-9397-08002B2CF9AE}" pid="63" name="[YXNn_W2i0WVi2A]61:63">
    <vt:lpwstr>TMgQqFn_EZg0r16RDErO99lNmlDYXNcRalj2mFEM8QuSTIoLEN61q6G0GxrIUQmN8dJM8YgQqFn_EZg0r16RDIsO99mOClDYXNcRalj2mFEMnEuSTMoLEN61q6G0GxrIUQnN8dJMnYdPTYqI7k70WVn1qFbZSIuI-Nj0WU50qY52G6-IHR61qhnIGxiIHRcZSBDYXNcRalj2mBr0rJf1q6-ZXQ5YXJ-IGtj2CB80qpk0GVoZWQiI7k71Gxd0bRn</vt:lpwstr>
  </property>
  <property fmtid="{D5CDD505-2E9C-101B-9397-08002B2CF9AE}" pid="64" name="[YXNn_W2i0WVi2A]62:64">
    <vt:lpwstr>I8ck4SlvIat60WU7O7JDZWlg2Wl617BD0qpk0GVoZSIgIa-9I8c71GJB1bY7LCJa0rJh2Wl6I8c7PUNPVUtUQS6DZWlg2Wl617FGNDdGN7lDZWlg2Wl617FGOClDZWlg2Wl617FGMTEuR8EnLEN-0Glp0GFmIU9oO99rLEN-0Glp0GFmIU9tO99lMSlDZWlg2Wl617FJMTQuSTErLEN-0Glp0GFmIU9lOTdJM8EgQqVg0HVgYXI6STIoLEN-0Gl</vt:lpwstr>
  </property>
  <property fmtid="{D5CDD505-2E9C-101B-9397-08002B2CF9AE}" pid="65" name="[YXNn_W2i0WVi2A]63:65">
    <vt:lpwstr>p0GFmIU9mN8dJM85dPTIpI7k70WVn1qFbZSIuI-Nj0WU50qY52G6-IHR61qhnIGxiIHRcZSBDZWlg2Wl617Br0rJf1q6-ZXQ5YXJ-IGtj2CB80qpk0GVoZWQiI7k71Gxd0bRnI8ck4SlvIat60WU7O7JDYWlg1mBD0qpk0GVoZSIgIa-9I8c7RE-RQUc7LCJa0rJh2Wl6I8c7PUNPVUtUQS6DYWlg1mFIMndJNTUoKTolMTAoI7k70WVn1qFbZS</vt:lpwstr>
  </property>
  <property fmtid="{D5CDD505-2E9C-101B-9397-08002B2CF9AE}" pid="66" name="[YXNn_W2i0WVi2A]64:66">
    <vt:lpwstr>IuI-RcZSB8YWl82Wl62G-j0bM50qs52G6-IEN60GlnIH2j1ahn_GV-2CB61aU50axoIGNj0XBgZXR-ZCs7LCJk0q-i2HM7O8BxXXp2LCJdZCIuIadl_VNlI7k72G-o0GU7O7Jk1aV8_GV8_mJxLHg72GVs2CIuI-BmZXB61aU5YSBkZXJn0qt60CB72WRbZXQ5ZaxmIGxiZSBh0qto_Cs5QaU51rVmZSBo0mBo_G-i_mBo_HJj2W2cIH-j2XI51</vt:lpwstr>
  </property>
  <property fmtid="{D5CDD505-2E9C-101B-9397-08002B2CF9AE}" pid="67" name="[YXNn_W2i0WVi2A]65:67">
    <vt:lpwstr>qxp1aN-1mBjZ7Bd0aNj0WU5YWt9IGVs1GVi1qVnL7BCZSB61mB9ZXR6_Wl-ZCB61mBt0rU52q-n_Dg5YbVoIG-iYqlpZGU5YqVg0HM52G662CB8YWl82Wl62GU52G6-IGZj0Glj2q-iZnc5SWt80qp-IC6r_G-8_CB8YWl82Wl62GVnIHRcZSBn2Wo50qY5YWlgIG-iYqxhZSBn0rVmYqVnKSk5RX6kZWtnZXM5KH2c_WNcIGN60GNp0GFoZXM5</vt:lpwstr>
  </property>
  <property fmtid="{D5CDD505-2E9C-101B-9397-08002B2CF9AE}" pid="68" name="[YXNn_W2i0WVi2A]66:68">
    <vt:lpwstr>2G6-IHNp0SBjZ7B60Gk5ZX6kZWtnZXMdLCB60aQ5UqFq_Wtb1mAc2q6dYq55YqFgYrVgYXR-1mBo_GU5ZG-aZaVmZWt8ZSB7ZXRrZWViIHRcZSBo0rR60CBd0aNj0WU5YWt9IGVs1GVi1qVnKSs5IEFa2GVmIGNj0XBgZXRd0a153Wxp17B72WRbZXQgIGNj0XBgZXR-IHRcZSBoYXNf1mBo0mB81aV62GU50aFhZWQ51aFiZqVnIHRcYXQ51aV</vt:lpwstr>
  </property>
  <property fmtid="{D5CDD505-2E9C-101B-9397-08002B2CF9AE}" pid="69" name="[YXNn_W2i0WVi2A]67:69">
    <vt:lpwstr>aZXJ-0aN-IHRcZSBd0XBj1bR60bQ5YqVg0HM50rVo0G-iZWQ5YWJj2aUiI7k72GFn_rM7O-hvIat60WU7O7JOYWp-IE-iYqxhZSIgIa-9I8c7VVRmSUk7LCJm2Wl-1mIuWrg7_WQ7O7JhSrZf17IgIap-1rN6ZqU7O7JU_GU5XCJJ0aNj0WV1I7BiYWp-ZCBmYWtbZSB90qVnIGtj2CB-3G-n2CIgIbBj_Wto1mIuMrp2LCJs0WldZCIuIap7N8</vt:lpwstr>
  </property>
  <property fmtid="{D5CDD505-2E9C-101B-9397-08002B2CF9AE}" pid="70" name="[YXNn_W2i0WVi2A]68:70">
    <vt:lpwstr>UlI7k7_G-i2CIuI9JpZG2-2Hk7LCJoZX6oI8c7QrJ-YXR-IGE50aFhZWQ51aFiZqU5YqFg0GV9LCB1I9-iYqxhZVk7IHRcYXQ51aVaZXJ-0aN-1mBo_GU5YqVg0CBo_GFoIGN60GNp0GFoZXM52G6-IHRj2GFgIG-iYqxhZSBd07Bt0rVmIGJpZG2-2Cs74SlvIat60WU7O7JOYWp-IEVs1GVi1qVnI7k7_WQ7O7Jm_-B-SSIgIbJp0GVnI8d03</vt:lpwstr>
  </property>
  <property fmtid="{D5CDD505-2E9C-101B-9397-08002B2CF9AE}" pid="71" name="[YXNn_W2i0WVi2A]69:71">
    <vt:lpwstr>mJdZCIuIbdOUVJ8I7k70WVn1qFbZSIuI-RcZSB1I9Vs1GVi1qVnXCI50aFhZWQ51aFiZqU5ZGx-1mBi0rQ5ZX6d1rQ7LCJk0q-i2HM7O8NxXSk73Gpg_WQ7O7JhY8YpMSIgIa6d0bQ7O7JC2WRbZXRwI7k72GVs2CIuI9NmZWFoZSB6IGt60WV9IHJ60a2-IGN60Gl-ZCk5XCJF3HB-0bN-1pk7IHRcYXQ51aVaZXJ-0aN-1mBo_GU5YqVg0CBo</vt:lpwstr>
  </property>
  <property fmtid="{D5CDD505-2E9C-101B-9397-08002B2CF9AE}" pid="72" name="[YXNn_W2i0WVi2A]70:72">
    <vt:lpwstr>_GFoIGN60GNp0GFoZXM52G6-IHRj2GFgIGVs1GVi1qVnIG-iIH-j2XI5YbV9ZqVoL7JxLHg70aFhZSIuI9t60WU5UqFq_Wtb1mIgIa-9I8c71X2-Zqs7LCJm2Wl-1mIuWrg7_WQ7O7JgYohFUSIgIap-1rN6ZqU7O7JU_GU5XCJTYXZd0a2nXCI50aFhZWQ51aFiZqU5ZGx-1mBi0rQ5ZX6d1rQ7LCJk0q-i2HM7O8JxLHg7_WQ7O7Je2a6d_mI</vt:lpwstr>
  </property>
  <property fmtid="{D5CDD505-2E9C-101B-9397-08002B2CF9AE}" pid="73" name="[YXNn_W2i0WVi2A]71:73">
    <vt:lpwstr>gIap-1rN6ZqU7O7JU_GU51qFq_Wtb1mB8YWl82Wl62G-j07B90qVnIGtj2CB80rJmZWNo0H951aVaZXJ-0aN-IHRcZSBd0aNj0WU5YWt9IGVs1GVi1qVnIGt60WV9IHJ60a2-1m97LCJk0q-i2HM7O8JxXSk73Gpg_WQ7O7JhY8YpMSIgIa6d0bQ7O7JC2WRbZXRwI7k72GVs2CIuI9NmZWFoZSB6IGt60WV9IHJ60a2-IGN60Gl-ZCk5XCJTYX</vt:lpwstr>
  </property>
  <property fmtid="{D5CDD505-2E9C-101B-9397-08002B2CF9AE}" pid="74" name="[YXNn_W2i0WVi2A]72:74">
    <vt:lpwstr>Zd0a2nXCI52G662CBmZWZ-1aViYqVnIHRcZSB8ZWlgIHRcYXQ5YqFgYrVgYXR-1mBo_GU50Wxi2G6g3SBnYXZd0a2nIG-iIH-j2XI5YbV9ZqVoL7BU_GU51qFq_Wtb1mB8YWl82Wl62G-j07Bn_Gxp0GQ5YaU52G6-IGRdZaZ-1aViYqU5YaVo2qV-07Bo_GU52GxoYWk5_Wt80qp-IGFiZCBo0rR60CB-3HB-0bN-1mBd07Bt0rVmIGJpZG2-2</vt:lpwstr>
  </property>
  <property fmtid="{D5CDD505-2E9C-101B-9397-08002B2CF9AE}" pid="75" name="[YXNn_W2i0WVi2A]73:75">
    <vt:lpwstr>Cs5QaU51rVmZSBo0mBmZWZ-1aViYqU52G6-IGt60WV9IHJ60a2-1mBa0rI5_Wt80qp-IGFiZCB-3HB-0bN-1mBd07Bt0rVmIGN60GNp0GFo_Wxi1ms74VogIa-9I8c7QqpgTFM7LCJo_XRgZSIuI9JpZG2-2CJxLHg72GVs2CIuI9Nj0XBgZXR-IHRcZSBn2GFoZWp-0bQ50qY5YqFn_CBa0GxrIGZj17BKYWtpYXJtIHRc1axpZq55SbViZSBj</vt:lpwstr>
  </property>
  <property fmtid="{D5CDD505-2E9C-101B-9397-08002B2CF9AE}" pid="76" name="[YXNn_W2i0WVi2A]74:76">
    <vt:lpwstr>07Bo_GU5QqFn_EZg0r152qxm_rNcZWVoIGJtIGNj0XBgZXRd0a152G6-IGZj0Glj2q-iZmBoYXNf1ms5QXM51GFm2CBjZ7Bo_GU51HJjYqVn1mBt0rU52q-g0CBiZWV9IHRjIHVnZSB6IGNd1aNp0GFmIHJ-ZaVmZWt8ZSs5WWxpIH2d0Gk50aV-ZCBo0mBnZXQ5RX68ZWk52Gw5_GFiZGl-IGNd1aNp0GFmIHJ-ZaVmZWt8ZXMiICIgIbR61qh</vt:lpwstr>
  </property>
  <property fmtid="{D5CDD505-2E9C-101B-9397-08002B2CF9AE}" pid="77" name="[YXNn_W2i0WVi2A]75:77">
    <vt:lpwstr>nI8d03mJiYWp-I8c7QqFn_CBJ0aZg0r2nI7k7_WQ7O7JSTGhb2CIgIbJp0GVnI8d03mJdZCIuI9JuQ9xrI7k71Gxd0bRnI8ckL8UgIap-1rN6ZqU7O7JU_GU52GxoYWk5YqFn_CBd0aZg0r2nIGN60GNp0GFo_WxiIG-iIEQlMmBd1mBi0rQ52G6-IHNp0SBjZ7BEMTE5YWt9IEQlM7JxLHg7_WQ7O7JbYpVR_mIgIbBj_Wto1mIuMCspLCJhZX</vt:lpwstr>
  </property>
  <property fmtid="{D5CDD505-2E9C-101B-9397-08002B2CF9AE}" pid="78" name="[YXNn_W2i0WVi2A]76:78">
    <vt:lpwstr>NnYW2-I8c7VG6-IHRj2GFgIGN61q55_Wta0Gxr1mB8YWl82Wl62G-j07Bd07BFMTM5_XM50axoIHRcZSBn2Wo50qY5RTElIGFiZCBFMTI74SlvIa-9I8c7ZElQSW17LCJk0q-i2HM7O8AiNSk70WVn1qFbZSIuI-RcZSBo0rR60CB8YXNcIG-iZalj2rM5YqFgYrVgYXRd0qs5_Ws5R8EnIG-nIGtj2CBo_GU51rVhIGxaIEYlMSB60aQ5R8EmI</vt:lpwstr>
  </property>
  <property fmtid="{D5CDD505-2E9C-101B-9397-08002B2CF9AE}" pid="79" name="[YXNn_W2i0WVi2A]77:79">
    <vt:lpwstr>bog3mJdZCIuIaN9ZWJGI7k71Gxd0bRnI8ckL8UgIap-1rN6ZqU7O7JU_GU52GxoYWk5YqFn_CBd0aZg0r2nIGN60GNp0GFo_WxiIG-iIE1lMmBd1mBi0rQ52G6-IHNp0SBjZ7BHMTE5YWt9IE1lM7JxLHg7_WQ7O7JmQ-Zh0CIgIbBj_Wto1mIuMCspLCJhZXNnYW2-I8c7VG6-IHRj2GFgIGN61q55_Wta0Gxr1mB8YWl82Wl62G-j07Bd07BI</vt:lpwstr>
  </property>
  <property fmtid="{D5CDD505-2E9C-101B-9397-08002B2CF9AE}" pid="80" name="[YXNn_W2i0WVi2A]78:80">
    <vt:lpwstr>MTM5_XM50axoIHRcZSBn2Wo50qY5SDElIGFiZCBIMTI74SlvIa-9I8c7WWVj0-c7LCJk0q-i2HM7O8AiNSk70WVn1qFbZSIuI-RcZSBo0rR60CB8YXNcIG-iZalj2rM5YqFgYrVgYXRd0qs5_Ws5STEnIG-nIGtj2CBo_GU51rVhIGxaIE9lMSB60aQ5STEmIbp2LCJs0WldZCIuIa5mMaZkI7k7UaVn1Gxi1qVG0rJh2Wl6I8c7PWN-0GlmZXN</vt:lpwstr>
  </property>
  <property fmtid="{D5CDD505-2E9C-101B-9397-08002B2CF9AE}" pid="81" name="[YXNn_W2i0WVi2A]79:81">
    <vt:lpwstr>k0qtnZS6DYXNcRalj2mFEMTEdI7k7_G-i2CIuI9N61q6G0Gxr4EQlMTdJMTM7LCJoZX6oI8c7QqFgYrVgYXR-IHRcZSBo0rR60CB8YXNcIG-iZalj2rM5ZaxmIHRcZSBn_X550Wxi2G6nL7BU_GU52GxoYWk5YqFn_CBd0aZg0r2nIGFmZSBn2Wo50qY52G6-IGN61q551qFgZXM5YWt9IGNp1rRj0WVmIHB63Wp-0bRnL7JxLHg70aFhZSIuI-</vt:lpwstr>
  </property>
  <property fmtid="{D5CDD505-2E9C-101B-9397-08002B2CF9AE}" pid="82" name="[YXNn_W2i0WVi2A]80:82">
    <vt:lpwstr>Rj2GFgIEVs1GVi1qVnI7k7_WQ7O7JVTWdbV7IgIbJp0GVnI8d03mJdZCIuIbR83XJYI7k71Gxd0bRnI8ckL8UgIap-1rN6ZqU7O7JU_GU52GxoYWk5ZX6kZWtnZXM5YqFgYrVgYXRd0qs5_Ws5RDIoIG-nIGtj2CBo_GU51rVhIGxaIEQlN7Bo_HJj2W2cIEQmMmJxLHg7_WQ7O7JtSaFNZCIgIbBj_Wto1mIuMCspLCJhZXNnYW2-I8c7VG6-I</vt:lpwstr>
  </property>
  <property fmtid="{D5CDD505-2E9C-101B-9397-08002B2CF9AE}" pid="83" name="[YXNn_W2i0WVi2A]81:83">
    <vt:lpwstr>HRj2GFgIGVs1GVi1qVnIGN60GNp0GFo_WxiIG-iIEUmNCBd1mBi0rQ52G6-IHNp0SBjZ7BFMTY52G6m0rVb_CBFM8M74SlvIa-9I8c7SGFVSUw7LCJk0q-i2HM7O8AiNSk70WVn1qFbZSIuI-RcZSBo0rR60CB-3HB-0bN-1mB8YWl82Wl62G-j07Bd07BGM8Q5_XM50axoIHRcZSBn2Wo50qY5R8EqIHRc1axpZq55R8InIbog3mJdZCIuIaZr</vt:lpwstr>
  </property>
  <property fmtid="{D5CDD505-2E9C-101B-9397-08002B2CF9AE}" pid="84" name="[YXNn_W2i0WVi2A]82:84">
    <vt:lpwstr>1bVHI7k71Gxd0bRnI8ckL8UgIap-1rN6ZqU7O7JU_GU52GxoYWk5ZX6kZWtnZXM5YqFgYrVgYXRd0qs5_Ws5RnIoIG-nIGtj2CBo_GU51rVhIGxaIE1lN7Bo_HJj2W2cIE1mMmJxLHg7_WQ7O7JVWXFZR7IgIbBj_Wto1mIuMCspLCJhZXNnYW2-I8c7VG6-IHRj2GFgIGVs1GVi1qVnIGN60GNp0GFo_WxiIG-iIE5mNCBd1mBi0rQ52G6-IHN</vt:lpwstr>
  </property>
  <property fmtid="{D5CDD505-2E9C-101B-9397-08002B2CF9AE}" pid="85" name="[YXNn_W2i0WVi2A]83:85">
    <vt:lpwstr>p0SBjZ7BIMTY52G6m0rVb_CBIM8M74SlvIa-9I8c7W9ZT1ok7LCJk0q-i2HM7O8AiNSk70WVn1qFbZSIuI-RcZSBo0rR60CB-3HB-0bN-1mB8YWl82Wl62G-j07Bd07BJM8Q5_XM50axoIHRcZSBn2Wo50qY5STEqIHRc1axpZq55STInIbp2LCJs0WldZCIuIa5mMaZkI7k7UaVn1Gxi1qVG0rJh2Wl6I8c7PWN-0GlmZXNk0qtnZS6DYXNcRa</vt:lpwstr>
  </property>
  <property fmtid="{D5CDD505-2E9C-101B-9397-08002B2CF9AE}" pid="86" name="[YXNn_W2i0WVi2A]84:86">
    <vt:lpwstr>lj2mFEMTYdI7k7_G-i2CIuI9N61q6G0Gxr4EQlN8dJM8Q7LCJoZX6oI8c7QqFgYrVgYXR-IHRcZSBo0rR60CB-3HB-0bN-1mBa0rI52G6-IHNd3CBh0qto_HMiIFRcZSBo0rR60CB-3HB-0bN-1mB61aU51rVhIGxaIGFg0CBjZ7Bo_GU5ZX6kZWtnZXM5_Wt82XJmZWQ5ZaxmIGV6Yq552G6-IGpj0bRcIG-iIH2c_WNcIHRcZX95YXJ-IG-iY</vt:lpwstr>
  </property>
  <property fmtid="{D5CDD505-2E9C-101B-9397-08002B2CF9AE}" pid="87" name="[YXNn_W2i0WVi2A]85:87">
    <vt:lpwstr>rVm1aV9L7JxLHg70aFhZSIuI9t-2CBDYXNcIEZg0r2nI7k7_WQ7O7JcVopj27IgIbJp0GVnI8d03mJdZCIuIalXTGtXI7k71Gxd0bRnI8ckL8UgIap-1rN6ZqU7O7JU_GU50aVoIGN61q55Zalj2rM5YqFgYrVgYXRd0qs5_Ws5RDIqIG-nIGtj2CBo_GU5ZG-aZaVmZWt8ZSB7ZXRrZWViIEQlMmB60aQ5RDIoIbog3mJdZCIuI-NmToR_I7k7</vt:lpwstr>
  </property>
  <property fmtid="{D5CDD505-2E9C-101B-9397-08002B2CF9AE}" pid="88" name="[YXNn_W2i0WVi2A]86:88">
    <vt:lpwstr>1Gxd0bRnI8ckL8UgIap-1rN6ZqU7O7JU_GU50aVoIGN61q55Zalj2rM5YqFgYrVgYXRd0qs5_Ws5RTIqIG-nIGtj2CBo_GU5ZG-aZaVmZWt8ZSB7ZXRrZWViIEUlMmB60aQ5RTIoIbog3mJdZCIuI-FT1o-eI7k71Gxd0bRnI8ckL8UgIap-1rN6ZqU7O7JU_GU50aVoIGN61q55Zalj2rM5YqFgYrVgYXRd0qs5_Ws5R8IqIG-nIGtj2CBo_GU</vt:lpwstr>
  </property>
  <property fmtid="{D5CDD505-2E9C-101B-9397-08002B2CF9AE}" pid="89" name="[YXNn_W2i0WVi2A]87:89">
    <vt:lpwstr>5ZG-aZaVmZWt8ZSB7ZXRrZWViIEYlMmB60aQ5R8IoIbog3mJdZCIuIaVsQU2CI7k71Gxd0bRnI8ckL8UgIap-1rN6ZqU7O7JU_GU50aVoIGN61q55Zalj2rM5YqFgYrVgYXRd0qs5_Ws5RnIqIG-nIGtj2CBo_GU5ZG-aZaVmZWt8ZSB7ZXRrZWViIE1lMmB60aQ5RnIoIbog3mJdZCIuIbZOYWRrI7k71Gxd0bRnI8ckL8UgIap-1rN6ZqU7O7</vt:lpwstr>
  </property>
  <property fmtid="{D5CDD505-2E9C-101B-9397-08002B2CF9AE}" pid="90" name="[YXNn_W2i0WVi2A]88:90">
    <vt:lpwstr>JU_GU50aVoIGN61q55Zalj2rM5YqFgYrVgYXRd0qs5_Ws5SDIqIG-nIGtj2CBo_GU5ZG-aZaVmZWt8ZSB7ZXRrZWViIE5lMmB60aQ5SDIoIbog3mJdZCIuIbFF0U-9I7k71Gxd0bRnI8ckL8UgIap-1rN6ZqU7O7JU_GU50aVoIGN61q55Zalj2rM5YqFgYrVgYXRd0qs5_Ws5STIqIG-nIGtj2CBo_GU5ZG-aZaVmZWt8ZSB7ZXRrZWViIE9lM</vt:lpwstr>
  </property>
  <property fmtid="{D5CDD505-2E9C-101B-9397-08002B2CF9AE}" pid="91" name="[YXNn_W2i0WVi2A]89:91">
    <vt:lpwstr>mB60aQ5STIoIbp2LCJs0WldZCIuIa5mMaZkI7k7UaVn1Gxi1qVG0rJh2Wl6I8c7PWN-0GlmZXNk0qtnZS6DYXNcRalj2mFEM8YdI7k7_G-i2CIuI9N61q6G0Gxr4EQmN8dJM8Y7LCJoZX6oI8c7QqFgYrVgYXR-IHRcZSBiZXQ5YqFn_CBa0Gxr1mBa0rI52G6-IHNd3CBh0qto_HMiIFRcZSBiZXQ5YqFn_CBa0Gxr1mB61aU5YqFgYrVgYXR-</vt:lpwstr>
  </property>
  <property fmtid="{D5CDD505-2E9C-101B-9397-08002B2CF9AE}" pid="92" name="[YXNn_W2i0WVi2A]90:92">
    <vt:lpwstr>ZCB61mBo_GU5ZG-aZaVmZWt8ZSB7ZXRrZWViIHRcZSBo0rR60CB8YXNcIG-iZalj2rM5YWt9IHRcZSBo0rR60CB-3HB-0bN-1mBa0rI5ZWF8_CBh0qto_Cs74SlvIat60WU7O7JT_Gxm2GZ60Gk50rI5UrVm1Glp1mIgIa-9I8c70qVSTqs7LCJm2Wl-1mIuWrg7_WQ7O7JC0bRXT7IgIbBj_Wto1mIuMCspLCJhZXNnYW2-I8c7VG6-IHNc0rJ</vt:lpwstr>
  </property>
  <property fmtid="{D5CDD505-2E9C-101B-9397-08002B2CF9AE}" pid="93" name="[YXNn_W2i0WVi2A]91:93">
    <vt:lpwstr>oZaFg0Cxn2XJk0HVnIGN61q55YqFgYrVgYXRd0qs5_Ws5RDIsIG-nIGtj2CBo_GU51rVhIGxaIEQsIGFiZCBEM8Y74SlvIa-9I8c70p6K0X57LCJk0q-i2HM7O8AiNSk70WVn1qFbZSIuI-RcZSBn_Gxm2GZ60Gkj1rVm1Glp1mB8YXNcIGN60GNp0GFo_WxiIG-iIEUmOCBd1mBi0rQ52G6-IHNp0SBjZ7BFOCB60aQ5RTIqIbog3mJdZCIuIa</vt:lpwstr>
  </property>
  <property fmtid="{D5CDD505-2E9C-101B-9397-08002B2CF9AE}" pid="94" name="[YXNn_W2i0WVi2A]92:94">
    <vt:lpwstr>Zl1qVNI7k71Gxd0bRnI8ckL8UgIap-1rN6ZqU7O7JU_GU51q6j1bRaYWlgLrNp1bBg2XM5YqFn_CB8YWl82Wl62G-j07Bd07BGM855_XM50axoIHRcZSBn2Wo50qY5R855YWt9IEYmN7JxLHg7_WQ7O7JgUURNZmIgIbBj_Wto1mIuMCspLCJhZXNnYW2-I8c7VG6-IHNc0rJoZaFg0Cxn2XJk0HVnIGN61q55YqFgYrVgYXRd0qs5_Ws5RnIsI</vt:lpwstr>
  </property>
  <property fmtid="{D5CDD505-2E9C-101B-9397-08002B2CF9AE}" pid="95" name="[YXNn_W2i0WVi2A]93:95">
    <vt:lpwstr>G-nIGtj2CBo_GU51rVhIGxaIE1sIGFiZCBHM8Y74SlvIa-9I8c7SbVl0Eg7LCJk0q-i2HM7O8AiNSk70WVn1qFbZSIuI-RcZSBn_Gxm2GZ60Gkj1rVm1Glp1mB8YXNcIGN60GNp0GFo_WxiIG-iIE5mOCBd1mBi0rQ52G6-IHNp0SBjZ7BIOCB60aQ5SDIqIbog3mJdZCIuIa-K2qlRI7k71Gxd0bRnI8ckL8UgIap-1rN6ZqU7O7JU_GU51q6j</vt:lpwstr>
  </property>
  <property fmtid="{D5CDD505-2E9C-101B-9397-08002B2CF9AE}" pid="96" name="[YXNn_W2i0WVi2A]94:96">
    <vt:lpwstr>1bRaYWlgLrNp1bBg2XM5YqFn_CB8YWl82Wl62G-j07Bd07BJM855_XM50axoIHRcZSBn2Wo50qY5ST55YWt9IE9mN7JxXSk73Gpg_WQ7O7JcM8Ja1CIgI-J-1rBj0bN-Raxm0XVgYSIuI8p8ZWlg1aVn1Gxi1qUcQqFn_EZg0r16RDIsKSIgIa6d0bQ7O7JDYXNcRalj2rlEM85uSTIsI7k72GVs2CIuI9N60GNp0GFoZSBo_GU5Uq6j1bRaYWl</vt:lpwstr>
  </property>
  <property fmtid="{D5CDD505-2E9C-101B-9397-08002B2CF9AE}" pid="97" name="[YXNn_W2i0WVi2A]95:97">
    <vt:lpwstr>gLpNp1bBg2XM5QqFn_CBa0rI52G6-IHNd3CBh0qto_HMiIFRcZSBn_Gxm2GZ60Gkj1rVm1Glp1mB8YXNcIG-nIHRcZSB7ZW2d0atd0a15YqFn_CB7YWl60aN-IHBg2XM52G6-IGt-2CB8YXNcIGZg0r2nIGZj17B-YWNcIGpj0bRcL7JxLHg70aFhZSIuI9F9ZG-o_WxiYWk5QqFn_CBOZWV9ZWQ7LCJdZCIuIaps0rNJI7k71bVgZXM7O-hvIa</vt:lpwstr>
  </property>
  <property fmtid="{D5CDD505-2E9C-101B-9397-08002B2CF9AE}" pid="98" name="[YXNn_W2i0WVi2A]96:98">
    <vt:lpwstr>-9I8c7ZahfRF17LCJk0q-i2HM7O8AiNSk70WVn1qFbZSIuI-RcZSB6ZGRd2G-j0aFgIGN61q550aV-ZGV9IGN60GNp0GFoZWQ5_Ws5RDMlIG-nIGtj2CB80rJmZWNoIH2cZWs52G6-IGN61q55Zalj2mBa0rI52G6-IGpj0bRcIG-nIHBj1q-o_XZ-L7JxLHg7_WQ7O7JoVrd7ZCIgIbBj_Wto1mIuMCspLCJhZXNnYW2-I8c7VG6-IGF9ZG-o_</vt:lpwstr>
  </property>
  <property fmtid="{D5CDD505-2E9C-101B-9397-08002B2CF9AE}" pid="99" name="[YXNn_W2i0WVi2A]97:99">
    <vt:lpwstr>WxiYWk5YqFn_CBiZWV9ZWQ5YqFgYrVgYXR-ZCBd07BEMnE5_XM50axoIGNj1bJ-YrQ52q6-07Bo_GU5YqFn_CBa0GxrIGZj17Bo_GU50Wxi2G55_XM50aVbYXRd2aUiIbog3mJdZCIuI-2bR9hSI7k71Gxd0bRnI8ckL8UgIap-1rN6ZqU7O7JU_GU5YWR9_XRd0qt60CB8YXNcIGt-ZWR-ZCB8YWl82Wl62GV9IG-iIEUnMSBd1mBi0rQ5Yqxm</vt:lpwstr>
  </property>
  <property fmtid="{D5CDD505-2E9C-101B-9397-08002B2CF9AE}" pid="100" name="[YXNn_W2i0WVi2A]98:100">
    <vt:lpwstr>1aV82CBr_GViIHRcZSB8YXNcIGZg0r15ZaxmIHRcZSBh0qto_CBd1mBk0rNd2G-qZSs74SlvIa-9I8c71Eho_-M7LCJk0q-i2HM7O8AiNSk70WVn1qFbZSIuI-RcZSB6ZGRd2G-j0aFgIGN61q550aV-ZGV9IGN60GNp0GFoZWQ5_Ws5RTMlIG-nIGtj2CB80rJmZWNoIH2cZWs52G6-IGN61q55Zalj2mBa0rI52G6-IGpj0bRcIG-nIGt-ZqF</vt:lpwstr>
  </property>
  <property fmtid="{D5CDD505-2E9C-101B-9397-08002B2CF9AE}" pid="101" name="[YXNn_W2i0WVi2A]99:101">
    <vt:lpwstr>o_XZ-L7JxLHg7_WQ7O7JlSalZWCIgIbBj_Wto1mIuMCspLCJhZXNnYW2-I8c7VG6-IGF9ZG-o_WxiYWk5YqFn_CBiZWV9ZWQ5YqFgYrVgYXR-ZCBd07BGMnE5_XM50axoIGNj1bJ-YrQ52q6-07Bo_GU5YqFn_CBa0GxrIGZj17Bo_GU50Wxi2G55_XM51Gxn_XRd2aUiIbog3mJdZCIuIa2eYbJ6I7k71Gxd0bRnI8ckL8UgIap-1rN6ZqU7O7</vt:lpwstr>
  </property>
  <property fmtid="{D5CDD505-2E9C-101B-9397-08002B2CF9AE}" pid="102" name="[YXNn_W2i0WVi2A]100:102">
    <vt:lpwstr>JU_GU5YWR9_XRd0qt60CB8YXNcIGt-ZWR-ZCB8YWl82Wl62GV9IG-iIEYnMSBd1mBi0rQ5Yqxm1aV82CBr_GViIHRcZSB8YXNcIGZg0r15ZaxmIHRcZSBh0qto_CBd1mBiZW262G-qZSs74SlvIa-9I8c72pNtSok7LCJk0q-i2HM7O8AiNSk70WVn1qFbZSIuI-RcZSB6ZGRd2G-j0aFgIGN61q550aV-ZGV9IGN60GNp0GFoZWQ5_Ws5RnMlI</vt:lpwstr>
  </property>
  <property fmtid="{D5CDD505-2E9C-101B-9397-08002B2CF9AE}" pid="103" name="[YXNn_W2i0WVi2A]101:103">
    <vt:lpwstr>G-nIGtj2CB80rJmZWNoIH2cZWs52G6-IGN61q55Zalj2mBa0rI52G6-IGpj0bRcIG-nIHBj1q-o_XZ-L7JxLHg7_WQ7O7J_2VRNWCIgIbBj_Wto1mIuMCspLCJhZXNnYW2-I8c7VG6-IGF9ZG-o_WxiYWk5YqFn_CBiZWV9ZWQ5YqFgYrVgYXR-ZCBd07BHMnE5_XM50axoIGNj1bJ-YrQ52q6-07Bo_GU5YqFn_CBa0GxrIGZj17Bo_GU50Wxi</vt:lpwstr>
  </property>
  <property fmtid="{D5CDD505-2E9C-101B-9397-08002B2CF9AE}" pid="104" name="[YXNn_W2i0WVi2A]102:104">
    <vt:lpwstr>2G55_XM50aVbYXRd2aUiIbog3mJdZCIuIa2JWERKI7k71Gxd0bRnI8ckL8UgIap-1rN6ZqU7O7JU_GU5YWR9_XRd0qt60CB8YXNcIGt-ZWR-ZCB8YWl82Wl62GV9IG-iIE5nMSBd1mBi0rQ5Yqxm1aV82CBr_GViIHRcZSB8YXNcIGZg0r15ZaxmIHRcZSBh0qto_CBd1mBk0rNd2G-qZSs74SlvIa-9I8c7THJtZao7LCJk0q-i2HM7O8AiNSk</vt:lpwstr>
  </property>
  <property fmtid="{D5CDD505-2E9C-101B-9397-08002B2CF9AE}" pid="105" name="[YXNn_W2i0WVi2A]103:105">
    <vt:lpwstr>70WVn1qFbZSIuI-RcZSB6ZGRd2G-j0aFgIGN61q550aV-ZGV9IGN60GNp0GFoZWQ5_Ws5SDMlIG-nIGtj2CB80rJmZWNoIH2cZWs52G6-IGN61q55Zalj2mBa0rI52G6-IGpj0bRcIG-nIGt-ZqFo_XZ-L7JxLHg7_WQ7O7J_09pf_CIgIbBj_Wto1mIuMCspLCJhZXNnYW2-I8c7VG6-IGF9ZG-o_WxiYWk5YqFn_CBiZWV9ZWQ5YqFgYrVgYX</vt:lpwstr>
  </property>
  <property fmtid="{D5CDD505-2E9C-101B-9397-08002B2CF9AE}" pid="106" name="[YXNn_W2i0WVi2A]104:106">
    <vt:lpwstr>R-ZCBd07BJMnE5_XM50axoIGNj1bJ-YrQ52q6-07Bo_GU5YqFn_CBa0GxrIGZj17Bo_GU50Wxi2G55_XM51Gxn_XRd2aUiIbog3mJdZCIuI9lQTVBHI7k71Gxd0bRnI8ckL8UgIap-1rN6ZqU7O7JU_GU5YWR9_XRd0qt60CB8YXNcIGt-ZWR-ZCB8YWl82Wl62GV9IG-iIE9nMSBd1mBi0rQ5Yqxm1aV82CBr_GViIHRcZSB8YXNcIGZg0r15Z</vt:lpwstr>
  </property>
  <property fmtid="{D5CDD505-2E9C-101B-9397-08002B2CF9AE}" pid="107" name="[YXNn_W2i0WVi2A]105:107">
    <vt:lpwstr>axmIHRcZSBh0qto_CBd1mBiZW262G-qZSs74VogIb6h0G-9I8c7_DImZbA7LCJSZXNk0qtnZUZj1app0GE7O7IxYqVg0HJ-1rBj0bN-KEN61q6G0GxrIUQnMS97LCJc_WtoI8c7QqFn_EZg0r2wRDMlO99nMSIgIbR-3HQ7O7JDYWl82Wl62GU52G6-IGF9ZG-o_WxiYWk5YqFn_CBiZWV9ZWQ5ZaxmIHRcZSBn_X550Wxi2G6nL7BX_GViIHRc</vt:lpwstr>
  </property>
  <property fmtid="{D5CDD505-2E9C-101B-9397-08002B2CF9AE}" pid="108" name="[YXNn_W2i0WVi2A]106:108">
    <vt:lpwstr>ZXJ-IG-nIGE5YqFn_CBn_Gxm2GZ60Gk5KHRcZSBn_Gxm2GZ60Gkj1rVm1Glp1mB8YXNcIGN60GNp0GFo_WxiIG-nIGl-1rM52G6607BuZXJjKSk5YWR9_XRd0qt60CB8YXNcIGpp1rQ5YaU50qJoYW-iZWQ5ZbJj0SB6IGljYWs52Gw5YqxqZXI5YWlgIGxaIHRcZSBh0qto_GltIGVs1GVi1qVnL7BU_GVmZWZj1aUgIGF9ZG-o_WxiYWk5YqF</vt:lpwstr>
  </property>
  <property fmtid="{D5CDD505-2E9C-101B-9397-08002B2CF9AE}" pid="109" name="[YXNn_W2i0WVi2A]107:109">
    <vt:lpwstr>n_CBiZWV9ZWQ5_XM5ZXFpYWk52Gw5YWttIGN61q551q6j1bRaYWlgL7BJ2CBd1mBuZXJjIG-aIHRcZXJ-IG-nIGE5YqFn_CBn2XJk0HVnL7BU_GU5YWR9_XRd0qt60CB8YXNcIGt-ZWR-ZCBn_Gxp0GQ5YaU5YSBk0rNd2G-qZSBi2Wp7ZXI5ZXZ-07Bo_GxpZq55YSBn_Gxm2GZ60Gk52q-g0CB7ZSB6IGt-ZqFo_XZ-IGtp0WJ-17Bd07Bo_G</vt:lpwstr>
  </property>
  <property fmtid="{D5CDD505-2E9C-101B-9397-08002B2CF9AE}" pid="110" name="[YXNn_W2i0WVi2A]108:110">
    <vt:lpwstr>U50Wx9ZWk5KHJj2mAmN79iIbog3mJiYWp-I8c7QqFn_CBB2aFd0GF70GU52Gw5UaVo_XJ-IER-YbQ7LCJdZCIuI9hWVXFpI7k71bVgZXM7O-hvIa-9I8c73bFM1oY7LCJk0q-i2HM7O8AiNSk70WVn1qFbZSIuI-RcZSB8YXNcIGFqYW-gYWJgZSBo0mBmZXRd1aU5ZGV72CBd07BEMnI5_XM5_Wt80rJmZWNoIH2cZWs52G6-IGN61q55Zalj2</vt:lpwstr>
  </property>
  <property fmtid="{D5CDD505-2E9C-101B-9397-08002B2CF9AE}" pid="111" name="[YXNn_W2i0WVi2A]109:111">
    <vt:lpwstr>mBa0rI52G6-IGpj0bRcIG-nIHBj1q-o_XZ-L7JxLHg7_WQ7O7JYSbJ63CIgIbBj_Wto1mIuMCspLCJhZXNnYW2-I8c7VG6-IGN61q55YXZ6_Wl6Yal-IHRjIHJ-2G-mZSB9ZWJoIG-iIEQnM7Bd1mBi0rQ5Yqxm1aV82CBr_GViIHRcZSB8YXNcIGlj2mBa0rI52G6-IGpj0bRcIG-nIGtj2CBk0rNd2G-qZSs74SlvIa-9I8c7RaNgZUY7LCJk</vt:lpwstr>
  </property>
  <property fmtid="{D5CDD505-2E9C-101B-9397-08002B2CF9AE}" pid="112" name="[YXNn_W2i0WVi2A]110:112">
    <vt:lpwstr>0q-i2HM7O8AiNSk70WVn1qFbZSIuI-RcZSB8YXNcIGFqYW-gYWJgZSBo0mBmZXRd1aU5ZGV72CBd07BFMnI5_XM5_Wt80rJmZWNoIH2cZWs52G6-IGN61q55Zalj2mBa0rI52G6-IGpj0bRcIG-nIHBj1q-o_XZ-L7JxLHg7_WQ7O7JMVbNIUCIgIbBj_Wto1mIuMCspLCJhZXNnYW2-I8c7VG6-IGN61q55YXZ6_Wl6Yal-IHRjIHJ-2G-mZSB</vt:lpwstr>
  </property>
  <property fmtid="{D5CDD505-2E9C-101B-9397-08002B2CF9AE}" pid="113" name="[YXNn_W2i0WVi2A]111:113">
    <vt:lpwstr>9ZWJoIG-iIEUnM7Bd1mBi0rQ5Yqxm1aV82CBr_GViIHRcZSB8YXNcIGlj2mBa0rI52G6-IGpj0bRcIG-nIGtj2CBk0rNd2G-qZSs74SlvIa-9I8c7T9JXYrU7LCJk0q-i2HM7O8AiNSk70WVn1qFbZSIuI-RcZSB8YXNcIGFqYW-gYWJgZSBo0mBmZXRd1aU5ZGV72CBd07BGMnI5_XM5_Wt80rJmZWNoIH2cZWs52G6-IGN61q55Zalj2mBa0r</vt:lpwstr>
  </property>
  <property fmtid="{D5CDD505-2E9C-101B-9397-08002B2CF9AE}" pid="114" name="[YXNn_W2i0WVi2A]112:114">
    <vt:lpwstr>I52G6-IGpj0bRcIG-nIHBj1q-o_XZ-L7JxLHg7_WQ7O7JQ1b2-TmIgIbBj_Wto1mIuMCspLCJhZXNnYW2-I8c7VG6-IGN61q55YXZ6_Wl6Yal-IHRjIHJ-2G-mZSB9ZWJoIG-iIEYnM7Bd1mBi0rQ5Yqxm1aV82CBr_GViIHRcZSB8YXNcIGlj2mBa0rI52G6-IGpj0bRcIG-nIGtj2CBk0rNd2G-qZSs74SlvIa-9I8c7QbBfS-c7LCJk0q-i2</vt:lpwstr>
  </property>
  <property fmtid="{D5CDD505-2E9C-101B-9397-08002B2CF9AE}" pid="115" name="[YXNn_W2i0WVi2A]113:115">
    <vt:lpwstr>HM7O8AiNSk70WVn1qFbZSIuI-RcZSB8YXNcIGFqYW-gYWJgZSBo0mBmZXRd1aU5ZGV72CBd07BHMnI5_XM5_Wt80rJmZWNoIH2cZWs52G6-IGN61q55Zalj2mBa0rI52G6-IGpj0bRcIG-nIHBj1q-o_XZ-L7JxLHg7_WQ7O7JG2a-Z2CIgIbBj_Wto1mIuMCspLCJhZXNnYW2-I8c7VG6-IGN61q55YXZ6_Wl6Yal-IHRjIHJ-2G-mZSB9ZWJo</vt:lpwstr>
  </property>
  <property fmtid="{D5CDD505-2E9C-101B-9397-08002B2CF9AE}" pid="116" name="[YXNn_W2i0WVi2A]114:116">
    <vt:lpwstr>IG-iIE1nM7Bd1mBi0rQ5Yqxm1aV82CBr_GViIHRcZSB8YXNcIGlj2mBa0rI52G6-IGpj0bRcIG-nIGtj2CBk0rNd2G-qZSs74SlvIa-9I8c7UGFlVqg7LCJk0q-i2HM7O8AiNSk70WVn1qFbZSIuI-RcZSB8YXNcIGFqYW-gYWJgZSBo0mBmZXRd1aU5ZGV72CBd07BIMnI5_XM5_Wt80rJmZWNoIH2cZWs52G6-IGN61q55Zalj2mBa0rI52G6</vt:lpwstr>
  </property>
  <property fmtid="{D5CDD505-2E9C-101B-9397-08002B2CF9AE}" pid="117" name="[YXNn_W2i0WVi2A]115:117">
    <vt:lpwstr>-IGpj0bRcIG-nIHBj1q-o_XZ-L7JxLHg7_WQ7O7JYZqV60CIgIbBj_Wto1mIuMCspLCJhZXNnYW2-I8c7VG6-IGN61q55YXZ6_Wl6Yal-IHRjIHJ-2G-mZSB9ZWJoIG-iIE5nM7Bd1mBi0rQ5Yqxm1aV82CBr_GViIHRcZSB8YXNcIGlj2mBa0rI52G6-IGpj0bRcIG-nIGtj2CBk0rNd2G-qZSs74SlvIa-9I8c7WH2f_Uw7LCJk0q-i2HM7O8</vt:lpwstr>
  </property>
  <property fmtid="{D5CDD505-2E9C-101B-9397-08002B2CF9AE}" pid="118" name="[YXNn_W2i0WVi2A]116:118">
    <vt:lpwstr>AiNSk70WVn1qFbZSIuI-RcZSB8YXNcIGFqYW-gYWJgZSBo0mBmZXRd1aU5ZGV72CBd07BJMnI5_XM5_Wt80rJmZWNoIH2cZWs52G6-IGN61q55Zalj2mBa0rI52G6-IGpj0bRcIG-nIHBj1q-o_XZ-L7JxLHg7_WQ7O7JCSHFSQmIgIbBj_Wto1mIuMCspLCJhZXNnYW2-I8c7VG6-IGN61q55YXZ6_Wl6Yal-IHRjIHJ-2G-mZSB9ZWJoIG-iI</vt:lpwstr>
  </property>
  <property fmtid="{D5CDD505-2E9C-101B-9397-08002B2CF9AE}" pid="119" name="[YXNn_W2i0WVi2A]117:119">
    <vt:lpwstr>E9nM7Bd1mBi0rQ5Yqxm1aV82CBr_GViIHRcZSB8YXNcIGlj2mBa0rI52G6-IGpj0bRcIG-nIGtj2CBk0rNd2G-qZSs74VogIb6h0G-9I8c7_DImZbA7LCJSZXNk0qtnZUZj1app0GE7O7IxYqVg0HJ-1rBj0bN-KEN61q6G0GxrIUQnM797LCJc_WtoI8c7QqFn_EZg0r2wRDMmO99nM7IgIbR-3HQ7O7JDYWl82Wl62GU52G6-IGN61q55YXZ6</vt:lpwstr>
  </property>
  <property fmtid="{D5CDD505-2E9C-101B-9397-08002B2CF9AE}" pid="120" name="[YXNn_W2i0WVi2A]118:120">
    <vt:lpwstr>_Wl6Yal-IHRjIHJ-2G-mZSB9ZWJoIGZj17B-YWNcIGxaIHRcZSBn_X550Wxi2G6nL7BU_GVmZSBd1mB8YXNcIGFqYW-gYWJgZSBo0mBmZXRd1aU5ZGV72CBdZ7Bo_GVmZSBd1mB6IGN61q551rVm1Glp1mB62CBo_GU5ZWt9IGxaIGE50Wxi2G55KHNc0rJoZaFg0Cxn2XJk0HVnIGN61q55P7AkKSs5VG6-1aVa0rJ-IGN61q55YXZ6_Wl6Yal</vt:lpwstr>
  </property>
  <property fmtid="{D5CDD505-2E9C-101B-9397-08002B2CF9AE}" pid="121" name="[YXNn_W2i0WVi2A]119:121">
    <vt:lpwstr>-IHRjIHJ-2G-mZSB9ZWJoIG-nIGVl2WFgIHRjIGFi3SB8YXNcIHNp1bBg2XM5YXQ52G6-IGViZCBjZ7B6IGpj0bRcL7BJZ7Bo_GVmZSBd1mBi0rQ5YSBn2XJk0HVnLCB8YXNcIGFqYW-gYWJgZSBo0mBmZXRd1aU5ZGV72CBd1mAkL7JxLHg70aFhZSIuI9N61q552XN-ZCBo0mBmZXRd1aU5ZGV72CIgIa-9I8c7VWha19U7LCJm2Wl-1mIuWr</vt:lpwstr>
  </property>
  <property fmtid="{D5CDD505-2E9C-101B-9397-08002B2CF9AE}" pid="122" name="[YXNn_W2i0WVi2A]120:122">
    <vt:lpwstr>g7_WQ7O7J8SU6-3CIgIbBj_Wto1mIuMCspLCJhZXNnYW2-I8c7VG6-IGN61q552XN-ZCBo0mBmZXRd1aU5ZGV72CBd07BEMnM5_XM50axoIGNj1bJ-YrQ52q6-07Bo_GU5YqFn_CB62aFd0GF70GU52Gw51aVo_XJ-IGR-YbQ5ZaxmIHRcZSBh0qto_CB-3GN-ZWRnIHRcZSBg0qFiIGJ60GFiYqU5ZbJj0SBo_GU51HJd0rI50Wxi2G5iIbog3</vt:lpwstr>
  </property>
  <property fmtid="{D5CDD505-2E9C-101B-9397-08002B2CF9AE}" pid="123" name="[YXNn_W2i0WVi2A]121:123">
    <vt:lpwstr>mJdZCIuI9-n1FRYI7k71Gxd0bRnI8ckL8UgIap-1rN6ZqU7O7JU_GU5YqFn_CBp1qV9IHRjIHJ-2G-mZSB9ZWJoIG-iIEQnMmBd1mBi0rQ5Yqxm1aV82CBr_GViIHRcZSB8YXNcIGFqYW-gYWJgZSBo0mBmZXRd1aU5ZGV72CBa0rI52G6-IGpj0bRcIG-nIGl-1rM52G6607Bo_GU50Gx607B7YWl60aN-IGZm0qo52G6-IHBm_WxmIGpj0bRc</vt:lpwstr>
  </property>
  <property fmtid="{D5CDD505-2E9C-101B-9397-08002B2CF9AE}" pid="124" name="[YXNn_W2i0WVi2A]122:124">
    <vt:lpwstr>L7JxLHg7_WQ7O7JjTrNcW7IgIbBj_Wto1mIuMCspLCJhZXNnYW2-I8c7VG6-IGN61q552XN-ZCBo0mBmZXRd1aU5ZGV72CBd07BFMnM5_XM50axoIGNj1bJ-YrQ52q6-07Bo_GU5YqFn_CB62aFd0GF70GU52Gw51aVo_XJ-IGR-YbQ5ZaxmIHRcZSBh0qto_CB-3GN-ZWRnIHRcZSBg0qFiIGJ60GFiYqU5ZbJj0SBo_GU51HJd0rI50Wxi2G5</vt:lpwstr>
  </property>
  <property fmtid="{D5CDD505-2E9C-101B-9397-08002B2CF9AE}" pid="125" name="[YXNn_W2i0WVi2A]123:125">
    <vt:lpwstr>iIbog3mJdZCIuIapiWWteI7k71Gxd0bRnI8ckL8UgIap-1rN6ZqU7O7JU_GU5YqFn_CBp1qV9IHRjIHJ-2G-mZSB9ZWJoIG-iIEUnMmBd1mBi0rQ5Yqxm1aV82CBr_GViIHRcZSB8YXNcIGFqYW-gYWJgZSBo0mBmZXRd1aU5ZGV72CBa0rI52G6-IGpj0bRcIG-nIGl-1rM52G6607Bo_GU50Gx607B7YWl60aN-IGZm0qo52G6-IHBm_WxmIG</vt:lpwstr>
  </property>
  <property fmtid="{D5CDD505-2E9C-101B-9397-08002B2CF9AE}" pid="126" name="[YXNn_W2i0WVi2A]124:126">
    <vt:lpwstr>pj0bRcL7JxLHg7_WQ7O7Jh3V2VWSIgIbBj_Wto1mIuMCspLCJhZXNnYW2-I8c7VG6-IGN61q552XN-ZCBo0mBmZXRd1aU5ZGV72CBd07BGMnM5_XM50axoIGNj1bJ-YrQ52q6-07Bo_GU5YqFn_CB62aFd0GF70GU52Gw51aVo_XJ-IGR-YbQ5ZaxmIHRcZSBh0qto_CB-3GN-ZWRnIHRcZSBg0qFiIGJ60GFiYqU5ZbJj0SBo_GU51HJd0rI50</vt:lpwstr>
  </property>
  <property fmtid="{D5CDD505-2E9C-101B-9397-08002B2CF9AE}" pid="127" name="[YXNn_W2i0WVi2A]125:127">
    <vt:lpwstr>Wxi2G5iIbog3mJdZCIuI-NeRo-rI7k71Gxd0bRnI8ckL8UgIap-1rN6ZqU7O7JU_GU5YqFn_CBp1qV9IHRjIHJ-2G-mZSB9ZWJoIG-iIEYnMmBd1mBi0rQ5Yqxm1aV82CBr_GViIHRcZSB8YXNcIGFqYW-gYWJgZSBo0mBmZXRd1aU5ZGV72CBa0rI52G6-IGpj0bRcIG-nIGl-1rM52G6607Bo_GU50Gx607B7YWl60aN-IGZm0qo52G6-IHBm</vt:lpwstr>
  </property>
  <property fmtid="{D5CDD505-2E9C-101B-9397-08002B2CF9AE}" pid="128" name="[YXNn_W2i0WVi2A]126:128">
    <vt:lpwstr>_WxmIGpj0bRcL7JxLHg7_WQ7O7JtR9-Y37IgIbBj_Wto1mIuMCspLCJhZXNnYW2-I8c7VG6-IGN61q552XN-ZCBo0mBmZXRd1aU5ZGV72CBd07BHMnM5_XM50axoIGNj1bJ-YrQ52q6-07Bo_GU5YqFn_CB62aFd0GF70GU52Gw51aVo_XJ-IGR-YbQ5ZaxmIHRcZSBh0qto_CB-3GN-ZWRnIHRcZSBg0qFiIGJ60GFiYqU5ZbJj0SBo_GU51HJ</vt:lpwstr>
  </property>
  <property fmtid="{D5CDD505-2E9C-101B-9397-08002B2CF9AE}" pid="129" name="[YXNn_W2i0WVi2A]127:129">
    <vt:lpwstr>d0rI50Wxi2G5iIbog3mJdZCIuI9VhZFRKI7k71Gxd0bRnI8ckL8UgIap-1rN6ZqU7O7JU_GU5YqFn_CBp1qV9IHRjIHJ-2G-mZSB9ZWJoIG-iIE1nMmBd1mBi0rQ5Yqxm1aV82CBr_GViIHRcZSB8YXNcIGFqYW-gYWJgZSBo0mBmZXRd1aU5ZGV72CBa0rI52G6-IGpj0bRcIG-nIGl-1rM52G6607Bo_GU50Gx607B7YWl60aN-IGZm0qo52G</vt:lpwstr>
  </property>
  <property fmtid="{D5CDD505-2E9C-101B-9397-08002B2CF9AE}" pid="130" name="[YXNn_W2i0WVi2A]128:130">
    <vt:lpwstr>6-IHBm_WxmIGpj0bRcL7JxLHg7_WQ7O7JTUqhRYSIgIbBj_Wto1mIuMCspLCJhZXNnYW2-I8c7VG6-IGN61q552XN-ZCBo0mBmZXRd1aU5ZGV72CBd07BIMnM5_XM50axoIGNj1bJ-YrQ52q6-07Bo_GU5YqFn_CB62aFd0GF70GU52Gw51aVo_XJ-IGR-YbQ5ZaxmIHRcZSBh0qto_CB-3GN-ZWRnIHRcZSBg0qFiIGJ60GFiYqU5ZbJj0SBo_</vt:lpwstr>
  </property>
  <property fmtid="{D5CDD505-2E9C-101B-9397-08002B2CF9AE}" pid="131" name="[YXNn_W2i0WVi2A]129:131">
    <vt:lpwstr>GU51HJd0rI50Wxi2G5iIbog3mJdZCIuIaddTGtXI7k71Gxd0bRnI8ckL8UgIap-1rN6ZqU7O7JU_GU5YqFn_CBp1qV9IHRjIHJ-2G-mZSB9ZWJoIG-iIE5nMmBd1mBi0rQ5Yqxm1aV82CBr_GViIHRcZSB8YXNcIGFqYW-gYWJgZSBo0mBmZXRd1aU5ZGV72CBa0rI52G6-IGpj0bRcIG-nIGl-1rM52G6607Bo_GU50Gx607B7YWl60aN-IGZm</vt:lpwstr>
  </property>
  <property fmtid="{D5CDD505-2E9C-101B-9397-08002B2CF9AE}" pid="132" name="[YXNn_W2i0WVi2A]130:132">
    <vt:lpwstr>0qo52G6-IHBm_WxmIGpj0bRcL7JxLHg7_WQ7O7J-WV2URCIgIbBj_Wto1mIuMCspLCJhZXNnYW2-I8c7VG6-IGN61q552XN-ZCBo0mBmZXRd1aU5ZGV72CBd07BJMnM5_XM50axoIGNj1bJ-YrQ52q6-07Bo_GU5YqFn_CB62aFd0GF70GU52Gw51aVo_XJ-IGR-YbQ5ZaxmIHRcZSBh0qto_CB-3GN-ZWRnIHRcZSBg0qFiIGJ60GFiYqU5ZbJ</vt:lpwstr>
  </property>
  <property fmtid="{D5CDD505-2E9C-101B-9397-08002B2CF9AE}" pid="133" name="[YXNn_W2i0WVi2A]131:133">
    <vt:lpwstr>j0SBo_GU51HJd0rI50Wxi2G5iIbog3mJdZCIuIaNtQpdOI7k71Gxd0bRnI8ckL8UgIap-1rN6ZqU7O7JU_GU5YqFn_CBp1qV9IHRjIHJ-2G-mZSB9ZWJoIG-iIE9nMmBd1mBi0rQ5Yqxm1aV82CBr_GViIHRcZSB8YXNcIGFqYW-gYWJgZSBo0mBmZXRd1aU5ZGV72CBa0rI52G6-IGpj0bRcIG-nIGl-1rM52G6607Bo_GU50Gx607B7YWl60a</vt:lpwstr>
  </property>
  <property fmtid="{D5CDD505-2E9C-101B-9397-08002B2CF9AE}" pid="134" name="[YXNn_W2i0WVi2A]132:134">
    <vt:lpwstr>N-IGZm0qo52G6-IHBm_WxmIGpj0bRcL7JxXSk73Gpg_WQ7O7JcM8Ja1CIgI-J-1rBj0bN-Raxm0XVgYSIuI8p8ZWlg1aVn1Gxi1qUcQqFn_EZg0r16RDMnKSIgIa6d0bQ7O7JDYXNcRalj2rlEMnMuSTMnI7k72GVs2CIuI9N60GNp0GFoZSBo_GU5YqFn_CBp1qV9IHRjIHJ-2G-mZSB9ZWJoIGZj17B-YWNcIGxaIHRcZSBn_X550Wxi2G6nL</vt:lpwstr>
  </property>
  <property fmtid="{D5CDD505-2E9C-101B-9397-08002B2CF9AE}" pid="135" name="[YXNn_W2i0WVi2A]133:135">
    <vt:lpwstr>7BT_Wt8ZSBo_GU5Yqxh1GFi3SB8YWsb2CBkYX95ZGxr07Bh0rJ-IGR-YbQ52G6607Bo_GVmZSBd1mB8YXNcIGFqYW-gYWJgZSBo0mBmZXRd1aU52G6-IGR-YbQgIHRcZSB8YXNcIHVnZWQ52Gw51aVo_XJ-IGR-YbQ5YqFi0axoIGVsYqV-ZCBo_GU5YqFn_CB62aFd0GF70GU52Gw51aVo_XJ-IGR-YbQiIEld_qVr_XN-LCBo_GU5Yqxh1GFi</vt:lpwstr>
  </property>
  <property fmtid="{D5CDD505-2E9C-101B-9397-08002B2CF9AE}" pid="136" name="[YXNn_W2i0WVi2A]134:136">
    <vt:lpwstr>3SBr0qsb2CBkYX950WxmZSBh0qt-3SBo0mBmZXRd1aU5ZGV72CBo_GFiIG-oIG661mB9ZWJoIGZm0qo52G6-IHBm_WxmIGpj0bRcIHRjIHJ-2G-mZSs5VG6-1aVa0rJ-LCBo_GU5YqFn_CBp1qV9IHRjIHJ-2G-mZSB9ZWJoIH2d0Gk5YaU5ZXFpYWk52Gw52G6-IGN61q55YXZ6_Wl6Yal-IHRjIHJ-2G-mZSB9ZWJoIG-aIHRcYXQ52GxoYWk</vt:lpwstr>
  </property>
  <property fmtid="{D5CDD505-2E9C-101B-9397-08002B2CF9AE}" pid="137" name="[YXNn_W2i0WVi2A]135:137">
    <vt:lpwstr>5_XM50GVn1mBo_GFiIHRcZSBg0qFiIGJ60GFiYqU5ZbJj0SBo_GU51HJd0rI50Wxi2G5iIExo_GVm2q-nZSk52G6-IGN61q552XN-ZCBo0mBmZXRd1aU5ZGV72CBr_WlgIGJ-IHRcZSBg0qFiIHRj2GFgIGZm0qo52G6-IHBm_WxmIGpj0bRcL7JxLHg70aFhZSIuI9ljYWs5QaFgYWt8ZSIgIa-9I8c71WVKVqU7LCJm2Wl-1mIuWrg7_WQ7O7</vt:lpwstr>
  </property>
  <property fmtid="{D5CDD505-2E9C-101B-9397-08002B2CF9AE}" pid="138" name="[YXNn_W2i0WVi2A]136:138">
    <vt:lpwstr>J6SWFX2CIgIbBj_Wto1mIuMCspLCJhZXNnYW2-I8c7VG6-IHZ60HV-IGZj17Bo_GU50Gx607B7YWl60aN-IG-iIEQnNCBd1mBi0rQ5YqFgYrVgYXR-ZCB61mBo_GU50Gx607B7YWl60aN-IGZm0qo52G6-IHBm_WxmIGpj0bRcIHBg2XM5YWR9_XRd0qt60CB8YXNcIGt-ZWR-ZCBh_Wtp1mB8YXNcIHVnZWQ52Gw51aVo_XJ-IGR-YbQiIbog3</vt:lpwstr>
  </property>
  <property fmtid="{D5CDD505-2E9C-101B-9397-08002B2CF9AE}" pid="139" name="[YXNn_W2i0WVi2A]137:139">
    <vt:lpwstr>mJdZCIuI9dPR-6WI7k71Gxd0bRnI8ckL8UgIap-1rN6ZqU7O7JU_GU52aFg2WU5ZaxmIHRcZSBg0qFiIGJ60GFiYqU5_Ws5RTMoIG-nIGtj2CB8YWl82Wl62GV9IGFnIHRcZSBg0qFiIGJ60GFiYqU5ZbJj0SBo_GU51HJd0rI50Wxi2G551Glp1mB6ZGRd2G-j0aFgIGN61q550aV-ZGV9IGpd0bVnIGN61q552XN-ZCBo0mBmZXRd1aU5ZGV7</vt:lpwstr>
  </property>
  <property fmtid="{D5CDD505-2E9C-101B-9397-08002B2CF9AE}" pid="140" name="[YXNn_W2i0WVi2A]138:140">
    <vt:lpwstr>2Cs74SlvIa-9I8c7To6i_9k7LCJk0q-i2HM7O8AiNSk70WVn1qFbZSIuI-RcZSBqYWlpZSBa0rI52G6-IGljYWs5YaFgYWt8ZSBd07BGMnQ5_XM50axoIGN60GNp0GFoZWQ5YXM52G6-IGljYWs5YaFgYWt8ZSBa1axhIHRcZSBk1a-j17Bh0qto_CBk0HVnIGF9ZG-o_WxiYWk5YqFn_CBiZWV9ZWQ50W-i2XM5YqFn_CBp1qV9IHRjIHJ-2G-</vt:lpwstr>
  </property>
  <property fmtid="{D5CDD505-2E9C-101B-9397-08002B2CF9AE}" pid="141" name="[YXNn_W2i0WVi2A]139:141">
    <vt:lpwstr>mZSB9ZWJoL7JxLHg7_WQ7O7JP1W67_SIgIbBj_Wto1mIuMCspLCJhZXNnYW2-I8c7VG6-IHZ60HV-IGZj17Bo_GU50Gx607B7YWl60aN-IG-iIE1nNCBd1mBi0rQ5YqFgYrVgYXR-ZCB61mBo_GU50Gx607B7YWl60aN-IGZm0qo52G6-IHBm_WxmIGpj0bRcIHBg2XM5YWR9_XRd0qt60CB8YXNcIGt-ZWR-ZCBh_Wtp1mB8YXNcIHVnZWQ52G</vt:lpwstr>
  </property>
  <property fmtid="{D5CDD505-2E9C-101B-9397-08002B2CF9AE}" pid="142" name="[YXNn_W2i0WVi2A]140:142">
    <vt:lpwstr>w51aVo_XJ-IGR-YbQiIbog3mJdZCIuIalFTrNcI7k71Gxd0bRnI8ckL8UgIap-1rN6ZqU7O7JU_GU52aFg2WU5ZaxmIHRcZSBg0qFiIGJ60GFiYqU5_Ws5SDMoIG-nIGtj2CB8YWl82Wl62GV9IGFnIHRcZSBg0qFiIGJ60GFiYqU5ZbJj0SBo_GU51HJd0rI50Wxi2G551Glp1mB6ZGRd2G-j0aFgIGN61q550aV-ZGV9IGpd0bVnIGN61q552</vt:lpwstr>
  </property>
  <property fmtid="{D5CDD505-2E9C-101B-9397-08002B2CF9AE}" pid="143" name="[YXNn_W2i0WVi2A]141:143">
    <vt:lpwstr>XN-ZCBo0mBmZXRd1aU5ZGV72Cs74SlvIa-9I8c7TFR9RWc7LCJk0q-i2HM7O8AiNSk70WVn1qFbZSIuI-RcZSBqYWlpZSBa0rI52G6-IGljYWs5YaFgYWt8ZSBd07BJMnQ5_XM50axoIGN60GNp0GFoZWQ5YXM52G6-IGljYWs5YaFgYWt8ZSBa1axhIHRcZSBk1a-j17Bh0qto_CBk0HVnIGF9ZG-o_WxiYWk5YqFn_CBiZWV9ZWQ50W-i2XM5</vt:lpwstr>
  </property>
  <property fmtid="{D5CDD505-2E9C-101B-9397-08002B2CF9AE}" pid="144" name="[YXNn_W2i0WVi2A]142:144">
    <vt:lpwstr>YqFn_CBp1qV9IHRjIHJ-2G-mZSB9ZWJoL7JxXSk73Gpg_WQ7O7JcM8Ja1CIgI-J-1rBj0bN-Raxm0XVgYSIuI8p8ZWlg1aVn1Gxi1qUcQqFn_EZg0r16RDMoKSIgIa6d0bQ7O7JDYXNcRalj2rlEMnQuSTMoI7k72GVs2CIuI9N60GNp0GFoZSBo_GU50Gx607B7YWl60aN-IGZj17B-YWNcIGxaIHRcZSBn_X550Wxi2G6nL7BU_GU50Gx607B</vt:lpwstr>
  </property>
  <property fmtid="{D5CDD505-2E9C-101B-9397-08002B2CF9AE}" pid="145" name="[YXNn_W2i0WVi2A]143:145">
    <vt:lpwstr>7YWl60aN-IG-nIGN60GNp0GFoZWQ5YXM52G6-IGF9ZG-o_WxiYWk5YqFn_CBiZWV9ZWQ5ZaxmIGE5Zq-qZWs50Wxi2G550W-i2XM5YWttIGN61q552XN-ZCBo0mBmZXRd1aU5ZGV72CBa0rI52G662CBh0qto_CBk0HVnIHRcZSBg0qFiIGJ60GFiYqU5YqFm1a--ZCBa1axhIHRcZSBk1a-j17Bh0qto_Cs74SlvIat60WU7O7JF0aRd0a15Qq</vt:lpwstr>
  </property>
  <property fmtid="{D5CDD505-2E9C-101B-9397-08002B2CF9AE}" pid="146" name="[YXNn_W2i0WVi2A]144:146">
    <vt:lpwstr>Fn_CBCYWl60aN-I7k7_WQ7O7JJRpBDZCIgIbJp0GVnI8d03mJdZCIuIapDRq6gI7k71Gxd0bRnI8ckL8UgIap-1rN6ZqU7O7JU_GU5ZWt9_WtbIGN61q552aFg2WU5_Ws5RDMqIG-nIGtj2CBo_GU5ZG-aZaVmZWt8ZSB7ZXRrZWViIHRcZSB8YXNcIGFqYW-gYWJgZSBo0mBmZXRd1aU5ZGV72CB60aQ52G6-IGN61q552XN-ZCBo0mBmZXRd1</vt:lpwstr>
  </property>
  <property fmtid="{D5CDD505-2E9C-101B-9397-08002B2CF9AE}" pid="147" name="[YXNn_W2i0WVi2A]145:147">
    <vt:lpwstr>aU5ZGV72Cs74SlvIa-9I8c7UapkVok7LCJk0q-i2HM7O8AiNSk70WVn1qFbZSIuI-RcZSB-0aRd0a15YqFn_CBqYWlpZSBd07BFMnY5_XM50axoIHRcZSB9_WZaZXJ-0aN-IGJ-2H2-ZWs52G6-IGN61q55YXZ6_Wl6Yal-IHRjIHJ-2G-mZSB9ZWJoIGFiZCBo_GU5YqFn_CBp1qV9IHRjIHJ-2G-mZSB9ZWJoL7JxLHg7_WQ7O7JtSXJfTmIg</vt:lpwstr>
  </property>
  <property fmtid="{D5CDD505-2E9C-101B-9397-08002B2CF9AE}" pid="148" name="[YXNn_W2i0WVi2A]146:148">
    <vt:lpwstr>IbBj_Wto1mIuMCspLCJhZXNnYW2-I8c7VG6-IGViZG-iZmB8YXNcIHZ60HV-IG-iIEYnN7Bd1mBi0rQ52G6-IGRdZaZ-1aViYqU5YaVo2qV-07Bo_GU5YqFn_CB62aFd0GF70GU52Gw51aVo_XJ-IGR-YbQ5YWt9IHRcZSB8YXNcIHVnZWQ52Gw51aVo_XJ-IGR-YbQiIbog3mJdZCIuI9hFZo6DI7k71Gxd0bRnI8ckL8UgIap-1rN6ZqU7O7J</vt:lpwstr>
  </property>
  <property fmtid="{D5CDD505-2E9C-101B-9397-08002B2CF9AE}" pid="149" name="[YXNn_W2i0WVi2A]147:149">
    <vt:lpwstr>U_GU5ZWt9_WtbIGN61q552aFg2WU5_Ws5RnMqIG-nIGtj2CBo_GU5ZG-aZaVmZWt8ZSB7ZXRrZWViIHRcZSB8YXNcIGFqYW-gYWJgZSBo0mBmZXRd1aU5ZGV72CB60aQ52G6-IGN61q552XN-ZCBo0mBmZXRd1aU5ZGV72Cs74SlvIa-9I8c7WWdiRVQ7LCJk0q-i2HM7O8AiNSk70WVn1qFbZSIuI-RcZSB-0aRd0a15YqFn_CBqYWlpZSBd07</vt:lpwstr>
  </property>
  <property fmtid="{D5CDD505-2E9C-101B-9397-08002B2CF9AE}" pid="150" name="[YXNn_W2i0WVi2A]148:150">
    <vt:lpwstr>BIMnY5_XM50axoIHRcZSB9_WZaZXJ-0aN-IGJ-2H2-ZWs52G6-IGN61q55YXZ6_Wl6Yal-IHRjIHJ-2G-mZSB9ZWJoIGFiZCBo_GU5YqFn_CBp1qV9IHRjIHJ-2G-mZSB9ZWJoL7JxLHg7_WQ7O7Jk3Ux7UCIgIbBj_Wto1mIuMCspLCJhZXNnYW2-I8c7VG6-IGViZG-iZmB8YXNcIHZ60HV-IG-iIE9nN7Bd1mBi0rQ52G6-IGRdZaZ-1aViY</vt:lpwstr>
  </property>
  <property fmtid="{D5CDD505-2E9C-101B-9397-08002B2CF9AE}" pid="151" name="[YXNn_W2i0WVi2A]149:151">
    <vt:lpwstr>qU5YaVo2qV-07Bo_GU5YqFn_CB62aFd0GF70GU52Gw51aVo_XJ-IGR-YbQ5YWt9IHRcZSB8YXNcIHVnZWQ52Gw51aVo_XJ-IGR-YbQiIbp2LCJs0WldZCIuIa5mMaZkI7k7UaVn1Gxi1qVG0rJh2Wl6I8c7PWN-0GlmZXNk0qtnZS6DYXNcRalj2mFEM8YdI7k7_G-i2CIuI9N61q6G0Gxr4EQnN8dJMnY7LCJoZX6oI8c7QqFgYrVgYXR-IHRc</vt:lpwstr>
  </property>
  <property fmtid="{D5CDD505-2E9C-101B-9397-08002B2CF9AE}" pid="152" name="[YXNn_W2i0WVi2A]150:152">
    <vt:lpwstr>ZSB-0aRd0a15YqFn_CB7YWl60aN-IGZj17B-YWNcIGpj0bRcL7BU_GU5ZWt9_WtbIGN61q55YaFgYWt8ZSBd1mB-1XV60CBo0mBo_GU5YqFn_CB62aFd0GF70GU52Gw51aVo_XJ-IGR-YbQ50W-i2XM5YWttIGN61q552XN-ZCBo0mBmZXRd1aU5ZGV72Cs74SlvIat60WU7O7JCZW2d0atd0a15QqFn_CBCYWl60aN-I7k7_WQ7O7JXVVFlU7I</vt:lpwstr>
  </property>
  <property fmtid="{D5CDD505-2E9C-101B-9397-08002B2CF9AE}" pid="153" name="[YXNn_W2i0WVi2A]151:153">
    <vt:lpwstr>gIbJp0GVnI8d03mJdZCIuI96kUoZqI7k71Gxd0bRnI8ckL8YgIap-1rN6ZqU7O7JU_GU5YaVb_Wti_WtbIGN61q55YaFgYWt8ZSBd07BFOCBd1mBi0rQ52G6-IGViZG-iZmB8YXNcIGJ60GFiYqU5ZbJj0SBo_GU51HJd0rI50Wxi2G5iIbog3mJdZCIuI-Vp2b27I7k71Gxd0bRnI8ckL8YgIap-1rN6ZqU7O7JU_GU5YaVb_Wti_WtbIGN61q</vt:lpwstr>
  </property>
  <property fmtid="{D5CDD505-2E9C-101B-9397-08002B2CF9AE}" pid="154" name="[YXNn_W2i0WVi2A]152:154">
    <vt:lpwstr>55YaFgYWt8ZSBd07BGOCBd1mBi0rQ52G6-IGViZG-iZmB8YXNcIGJ60GFiYqU5ZbJj0SBo_GU51HJd0rI50Wxi2G5iIbog3mJdZCIuIahiUbZBI7k71Gxd0bRnI8ckL8YgIap-1rN6ZqU7O7JU_GU5YaVb_Wti_WtbIGN61q55YaFgYWt8ZSBd07BHOCBd1mBi0rQ52G6-IGViZG-iZmB8YXNcIGJ60GFiYqU5ZbJj0SBo_GU51HJd0rI50Wxi2</vt:lpwstr>
  </property>
  <property fmtid="{D5CDD505-2E9C-101B-9397-08002B2CF9AE}" pid="155" name="[YXNn_W2i0WVi2A]153:155">
    <vt:lpwstr>G5iIbog3mJdZCIuI-BRZbVCI7k71Gxd0bRnI8ckL8YgIap-1rN6ZqU7O7JU_GU5YaVb_Wti_WtbIGN61q55YaFgYWt8ZSBd07BIOCBd1mBi0rQ52G6-IGViZG-iZmB8YXNcIGJ60GFiYqU5ZbJj0SBo_GU51HJd0rI50Wxi2G5iIbog3mJdZCIuI9NIQqp6I7k71Gxd0bRnI8ckL8YgIap-1rN6ZqU7O7JU_GU5YaVb_Wti_WtbIGN61q55YaFg</vt:lpwstr>
  </property>
  <property fmtid="{D5CDD505-2E9C-101B-9397-08002B2CF9AE}" pid="156" name="[YXNn_W2i0WVi2A]154:156">
    <vt:lpwstr>YWt8ZSBd07BJOCBd1mBi0rQ52G6-IGViZG-iZmB8YXNcIGJ60GFiYqU5ZbJj0SBo_GU51HJd0rI50Wxi2G5iIbp2LCJs0WldZCIuIa5mMaZkI7k7UaVn1Gxi1qVG0rJh2Wl6I8c7PWN-0GlmZXNk0qtnZS6DYXNcRalj2mFFOC97LCJc_WtoI8c7QqFn_EZg0r2wRT5uST57LCJoZX6oI8c7QqFgYrVgYXR-IHRcZSB7ZW2d0atd0a15YqFn_CB</vt:lpwstr>
  </property>
  <property fmtid="{D5CDD505-2E9C-101B-9397-08002B2CF9AE}" pid="157" name="[YXNn_W2i0WVi2A]155:157">
    <vt:lpwstr>7YWl60aN-IGZj17BGZWJm2WFm3SBo_HJj2W2cIEdp0aUiIFRcZSB7ZW2d0atd0a15YqFn_CB7YWl60aN-IG-nIGVl2WFgIHRjIHRcZSB-0aRd0a15YqFn_CB7YWl60aN-IGZm0qo52G6-IHBm_WxmIGpj0bRcL7JxLHg70aFhZSIuI9ljYWs5SWtoZXJ-1rQ7LCJdZCIuIaxQ0b6_I7k71bVgZXM7O-hvIa-9I8c7SaZOVXY7LCJk0q-i2HM7O8</vt:lpwstr>
  </property>
  <property fmtid="{D5CDD505-2E9C-101B-9397-08002B2CF9AE}" pid="158" name="[YXNn_W2i0WVi2A]156:158">
    <vt:lpwstr>AiNSk70WVn1qFbZSIuI-RcZSBg_Wt-IGxaIGNmZWRd2CBd07BEMT15_XM50axoIHRcZSBg0qFiIGJ60GFiYqU52G-hZXM52G6-IG-i2GVmZXNoIHJ62GUiIbog3mJdZCIuIa2LQXRZI7k71Gxd0bRnI8ckL8UgIap-1rN6ZqU7O7JU_GU50G-iZSBjZ7B81aV9_XQ5_Ws5RTErIG-nIGtj2CBo_GU50Gx607B7YWl60aN-IHRd0WVnIHRcZSBd0</vt:lpwstr>
  </property>
  <property fmtid="{D5CDD505-2E9C-101B-9397-08002B2CF9AE}" pid="159" name="[YXNn_W2i0WVi2A]157:159">
    <vt:lpwstr>bR-1aVn2CBmYXR-L7JxLHg7_WQ7O7JHWU6oZ7IgIbBj_Wto1mIuMCspLCJhZXNnYW2-I8c7VG6-IGld0aU50qY5YrJ-ZG-oIG-iIEYlNmBd1mBi0rQ52G6-IGljYWs5YaFgYWt8ZSBo_Wp-1mBo_GU5_WtoZXJ-1rQ51aFoZSs74SlvIa-9I8c7WG-IUoI7LCJk0q-i2HM7O8AiNSk70WVn1qFbZSIuI-RcZSBg_Wt-IGxaIGNmZWRd2CBd07BH</vt:lpwstr>
  </property>
  <property fmtid="{D5CDD505-2E9C-101B-9397-08002B2CF9AE}" pid="160" name="[YXNn_W2i0WVi2A]158:160">
    <vt:lpwstr>MT15_XM50axoIHRcZSBg0qFiIGJ60GFiYqU52G-hZXM52G6-IG-i2GVmZXNoIHJ62GUiIbog3mJdZCIuIaVIUoFXI7k71Gxd0bRnI8ckL8UgIap-1rN6ZqU7O7JU_GU50G-iZSBjZ7B81aV9_XQ5_Ws5SDErIG-nIGtj2CBo_GU50Gx607B7YWl60aN-IHRd0WVnIHRcZSBd0bR-1aVn2CBmYXR-L7JxLHg7_WQ7O7JQSExkYmIgIbBj_Wto1mI</vt:lpwstr>
  </property>
  <property fmtid="{D5CDD505-2E9C-101B-9397-08002B2CF9AE}" pid="161" name="[YXNn_W2i0WVi2A]159:161">
    <vt:lpwstr>uMCspLCJhZXNnYW2-I8c7VG6-IGld0aU50qY5YrJ-ZG-oIG-iIE9lNmBd1mBi0rQ52G6-IGljYWs5YaFgYWt8ZSBo_Wp-1mBo_GU5_WtoZXJ-1rQ51aFoZSs74VogIb6h0G-9I8c7_DImZbA7LCJSZXNk0qtnZUZj1app0GE7O7IxYqVg0HJ-1rBj0bN-KEN61q6G0GxrIUQlNm97LCJc_WtoI8c7QqFn_EZg0r2wRDErO99lNmIgIbR-3HQ7O7</vt:lpwstr>
  </property>
  <property fmtid="{D5CDD505-2E9C-101B-9397-08002B2CF9AE}" pid="162" name="[YXNn_W2i0WVi2A]160:162">
    <vt:lpwstr>JDYWl82Wl62GU52G6-IGljYWs5_WtoZXJ-1rQ5ZaxmIGV6Yq550Wxi2G5iIFRcZSBg0qFiIG-i2GVmZXNoIG-nIGVl2WFgIHRjIHRcZSBg0qFiIGJ60GFiYqU5ZaxmIHRcYXQ50Wxi2G552G-hZXM52G6-IGpj0bRc0H95_WtoZXJ-1rQ51aFoZSBd07B8ZWlgIEMnL7BU_G-nIH2d0Gk5YrJ-YXR-IGE5Yq-mYrVgYXI51aVaZXJ-0aN-L7BD0</vt:lpwstr>
  </property>
  <property fmtid="{D5CDD505-2E9C-101B-9397-08002B2CF9AE}" pid="163" name="[YXNn_W2i0WVi2A]161:163">
    <vt:lpwstr>qta_W2p1aU5RX68ZWk52Gw5YXBk1axk1a-62GVg3SBcYWt90GU52G6-IGNd1aNp0GFmIHJ-ZaVmZWt8ZSs74SlvIat60WU7O7JM_Wt-IGxaIENmZWRd2CIgIa-9I8c70GxgYpU7LCJm2Wl-1mIuWrg7_WQ7O7JXYoJLVmIgIbBj_Wto1mIuM7k70WVn1qFbZSIuI-RcZSBqYWlpZSBa0rI52G6-IGld0aU50qY5YrJ-ZG-oIG-nIG-iYqxm1aV8</vt:lpwstr>
  </property>
  <property fmtid="{D5CDD505-2E9C-101B-9397-08002B2CF9AE}" pid="164" name="[YXNn_W2i0WVi2A]162:164">
    <vt:lpwstr>2Cs74SlvIa-9I8c7QWlt_FA7LCJk0q-i2HM7O8EgIap-1rN6ZqU7O7JU_GU5ZbViYrRd0qs52XN-ZCBo0mB8YWl82Wl62GU52G6-IGld0aU50qY5YrJ-ZG-oIGRjZXM50axoIHJ-ZaVmZWt8ZSBo_GU50Gx607B7YWl60aN-1mBa0rI52G6-IHNd3CBh0qto_HMiI7k71HJ-1HJjYrM7O-hvIbBm0qN-ZHVmZSIuIaN-0GlnUaVaZXJ-0aN-ZE-</vt:lpwstr>
  </property>
  <property fmtid="{D5CDD505-2E9C-101B-9397-08002B2CF9AE}" pid="165" name="[YXNn_W2i0WVi2A]163:165">
    <vt:lpwstr>iRaxm0XVgYSIgIa-9I8c7Yo-VVG57LCJkYXJ60XM7O7JwQqFn_EZg0r16JEM9NXlDYXNcRalj2mFEMnQuSTMoIbp24VogIb6h0G-9I8c7_DImZbA7LCJSZXNk0qtnZUZj1app0GE7O7IxYqVg0HJ-1rBj0bN-KEN61q6G0GxrIUMpKSIgIa6d0bQ7O7JDYXNcRalj2rlDNSIgIbR-3HQ7O7JDYWl82Wl62GU52G6-IGld0aU50qY5YrJ-ZG-oIG</vt:lpwstr>
  </property>
  <property fmtid="{D5CDD505-2E9C-101B-9397-08002B2CF9AE}" pid="166" name="[YXNn_W2i0WVi2A]164:166">
    <vt:lpwstr>t-ZWR-ZCs5VG6-IGld0aU50qY5YrJ-ZG-oIGt-ZWR-ZCBd1mBo_GU5YrJ-ZG-oIGld0W-oIHRcZSB80qpkYWttIGt-ZWRnIHRjIGt-Zqxo_WFoZSBr_XRcIHRcZSB7YWtfL7BJ2CBd1mB8YWl82Wl62GV9IGFnIHRcZSBhYX6d0XVhIGljYWs5YaFgYWt8ZSBo_GFoIHRcZSB80qpkYWttIGVs1GV82HM52Gw5YqFm1b950rZ-17Bo_GU5Yqxp1</vt:lpwstr>
  </property>
  <property fmtid="{D5CDD505-2E9C-101B-9397-08002B2CF9AE}" pid="167" name="[YXNn_W2i0WVi2A]165:167">
    <vt:lpwstr>bN-IGxaIHRcZSBn_X550Wxi2G551GVm_Wx9L7JxXSk7_WQ7O7JP1p6P2CIgIbRd2Gl-I8c7QqFn_CBG0GxrIbog3mJoZX6oI8c7WWxpIGFmZSBk0GFi0a-iZmBo0mBn2q-oYq553Wxp17B8ZWlgIHBc0qt-IHBm0rZdZGVmL7BU_GU5QqVg0HVgYXI52qxm_rNcZWVoIHBmZXN-0bRnIHRc1aV-IGxk2G-j0bM5ZaxmIGE5YqVg0CBk_GxiZSBk</vt:lpwstr>
  </property>
  <property fmtid="{D5CDD505-2E9C-101B-9397-08002B2CF9AE}" pid="168" name="[YXNn_W2i0WVi2A]166:168">
    <vt:lpwstr>0GFiIH2d2G552G6-IGt-2mB80qpkYWttL7BZ0rU5Yqxp0GQ5Yq6j0rN-IGE51GFtLWFnLX-j2Spb0mBk0GFiLCB6IHRmYWRd2G-j0aFgIHBgYWs5KH2c_WNcIG-iYqlpZGVnIGFiIGFg0GxrYWt8ZSBa0rI50W-i2XR-1mk5ZGFoYSk5YWt9IHR-3HQ5YWt9IHB-0aFg2G--1mBa0rI5ZX68ZWV9_WtbIHRcZXN-IGFg0GxrYWt8ZXMdLCB60aQ</vt:lpwstr>
  </property>
  <property fmtid="{D5CDD505-2E9C-101B-9397-08002B2CF9AE}" pid="169" name="[YXNn_W2i0WVi2A]167:169">
    <vt:lpwstr>5YWs52Wtg_Wpd2GV9IHBgYWsiIF-j2SBrYWtoIHRjIGVqYWlpYXR-IH2c_WNcIHBgYWs52q-g0CB7ZSB7ZXNoIGZj17Bt0rUiIF-j2SBcYXZ-IG-h1Gxm2GV9IH-j2XI5YqFg0HMgIGR62GE52XN6ZqUgIGFiZCBoZX6oIGp-1rN6ZqU52XN6ZqU5ZbJj0SBo_GU50GFn2CBh0qto_CBr_XRcIH-j2XI51HJ-2a-j2XM51HJj2a-9ZXI5_Wto0m</vt:lpwstr>
  </property>
  <property fmtid="{D5CDD505-2E9C-101B-9397-08002B2CF9AE}" pid="170" name="[YXNn_W2i0WVi2A]168:170">
    <vt:lpwstr>BnZXB61aFoZSBr0rJf1q6-ZXRnIG-iIHRcZSBr0rJfYaxj_mAcQqFg0HMgIER62GEgIGFiZCBNZXNnYW2-1mk51aVn1GV82G-qZWltKSBn0mBo_GFoIH-j2SB8YWs5_GxrIGppYq55ZWF8_CBk0GFiIH2j2Wl9IGNj1rQ53WxpIGJ61qV9IGxiIH-j2XI52XN6ZqU52G662CBh0qto_Cs5Qqxh1Gl-2GU52G6-IGZj0Glj2q-iZmBoYXNf1mBo0</vt:lpwstr>
  </property>
  <property fmtid="{D5CDD505-2E9C-101B-9397-08002B2CF9AE}" pid="171" name="[YXNn_W2i0WVi2A]169:171">
    <vt:lpwstr>mB80qpkYXJ-IH-j2XI5Ya-g0CBa0rI5ZWF8_CBk0GFiIGxk2G-j07s7LCJoYXNf1mIuWrg70aFhZSIuI9Nj0XBgZXR-IFk7VqV-_qR63SxEYX-o_Wp-XCI7LCJdZCIuIb-cSWNRI7k71bVgZXM7O-hvIa-9I8c72WJLTbY7LCJhZXNnYW2-I8c7UqxhZSBjZ7Bo_GU52aFg2WVnIGZj17Bo_GU5ZaxmIFk7VqV-_qR63SxEYX-o_Wp-Ppk7IGN6</vt:lpwstr>
  </property>
  <property fmtid="{D5CDD505-2E9C-101B-9397-08002B2CF9AE}" pid="172" name="[YXNn_W2i0WVi2A]170:172">
    <vt:lpwstr>0GNp0GFo_Wxi1mB61aU5_Wt80rJmZWNoL7IgIbBj_Wto1mIuMXp2LCJs0WldZCIuIaV7OXMtI7k7UaVn1Gxi1qVG0rJh2Wl6I8c7PWN-0GlmZXNk0qtnZS6DYWlg1mFIMm97LCJc_WtoI8c7QqFg0HNwSDMuSDUpNCIgIbR-3HQ7O7JD0qpk0GVoZSBo_GU5XCJXZWVfZGFtLoR63XRd0WUzXCI5Yqxg2WpiIGxaIHRcZSB1I9N60GlnXCI52qx</vt:lpwstr>
  </property>
  <property fmtid="{D5CDD505-2E9C-101B-9397-08002B2CF9AE}" pid="173" name="[YXNn_W2i0WVi2A]171:173">
    <vt:lpwstr>m_rNcZWVoL7BFYWNcIGN-0Gk5_Ws52G6d1mB80qlp0Ws51q6j2Wl9IGRd1rBgYX95XCJZZXN1I7BdZ7Bo_GU5YqFg0CBa0rI52G662CBm0r152qFnIGp6ZGU50qs5YSBrZWVfZGFtIGFiZCB92XJd0a152G6-IGR63XRd0WU5YWt9IFk7Tax1I7Bj2G6-1b2d1qU5KGUiZms5YqVg0CBIMmBr_WlgIGRd1rBgYX95XCJZZXN1I7BdZ7B8ZWlg1m</vt:lpwstr>
  </property>
  <property fmtid="{D5CDD505-2E9C-101B-9397-08002B2CF9AE}" pid="174" name="[YXNn_W2i0WVi2A]172:174">
    <vt:lpwstr>BGMmB60aQ5RnM5YXJ-IGJj2G55XCJZZXN1I7Bj2G6-1b2d1qU5_XQ52q-g0CB9_XNk0GFtIFk7Tax1I79iIEtj2G-8ZSBo_GFoIGNj0HVh07BGIG-nIFk7WWVnXCI5_WY52G6-IGN60Gk52qFnIHBgYWN-ZCBj07B6IH2-ZWh9YX95YWt9IGNj0HVh07BHIG-nIFk7WWVnXCI5_WY52G6-IGN60Gk50qN82XJ-ZCB92XJd0a152G6-IGR63XRd0</vt:lpwstr>
  </property>
  <property fmtid="{D5CDD505-2E9C-101B-9397-08002B2CF9AE}" pid="175" name="[YXNn_W2i0WVi2A]173:175">
    <vt:lpwstr>WUiIbog3mJiYWp-I8c7Qqxh1Gl-2GU5XCJU_Wp-IENcYXJbZWR1I7IgIa-9I8c7_W6-QoQ7LCJm2Wl-1mIuWrg7_WQ7O7Jt0-FFRmIgIap-1rN6ZqU7O7JT0qp-IGxaIHRcZSB8YWlgIHRd0WU5YqFgYrVgYXRd0qtnIGFmZSBi0rQ5Yqxm1aV82Cs7LCJk0q-i2HM7O8FxXSk73Gpg_WQ7O7J-Y8-nOSIgI-J-1rBj0bN-Raxm0XVgYSIuI8p8</vt:lpwstr>
  </property>
  <property fmtid="{D5CDD505-2E9C-101B-9397-08002B2CF9AE}" pid="176" name="[YXNn_W2i0WVi2A]174:176">
    <vt:lpwstr>ZWlg1aVn1Gxi1qUcQqFg0HM6STMdI7k7_G-i2CIuI9N60Gln4E9nO99pNTQ7LCJoZX6oI8c7Qqxh1Gl-2GU52G6-IFk7VG-hZSBD_GFmZqV9XCI5Yqxg2WpiIGxaIHRcZSB1I9N60GlnXCI52qxm_rNcZWVoL7BU_GU52G-hZSB8_GFmZqV9IGZj17B-YWNcIGN60Gk5_XM52G6-IFk7TW-i2XR-1pk7IC680qlp0Ws5RS95ZaxmIHRcYXQ5YqF</vt:lpwstr>
  </property>
  <property fmtid="{D5CDD505-2E9C-101B-9397-08002B2CF9AE}" pid="177" name="[YXNn_W2i0WVi2A]175:177">
    <vt:lpwstr>g0CBm0rViZGV9IHVkIHRjIHRcZSBiZX6oIGpd0bVoZSAcZStbL7Bo_GU52G-hZSB8_GFmZqV9IGZj17B6IGN60Gk52G662CBgYXNo1mAlL8AlIGpd0bVoZXM5_XM5M7Bh_Wtp2GVnKSs5VXN-IHRcZSBSTpVORFVQIGZp0aNo_WxiIH2d2G55XCJN_Wtp2GVnXCI5KGNj0HVh07BFKSB61mBo_GU50bVhYaVmIGFmZrVhZWtoIGFiZCAkIGZj17</vt:lpwstr>
  </property>
  <property fmtid="{D5CDD505-2E9C-101B-9397-08002B2CF9AE}" pid="178" name="[YXNn_W2i0WVi2A]176:178">
    <vt:lpwstr>Bo_GU50bVhYaVmIGxaIGRdZq-o1ms74SlvIat60WU7O7JDYWl82Wl62GU5VqV-_qR63SBEYX-o_Wp-IEpd0bVoZXM7LCJdZCIuIatKSE2QI7k71bVgZXM7O-hvIa-9I8c71oNkUo17LCJk0q-i2HM7O8EgIap-1rN6ZqU7O7JU_GU5VqV-_qR63SBEYX-o_Wp-IEpd0bVoZXM5YqFgYrVgYXRd0qs5_XM50axoIGNj1bJ-YrQiIbp2LCJs0WldZ</vt:lpwstr>
  </property>
  <property fmtid="{D5CDD505-2E9C-101B-9397-08002B2CF9AE}" pid="179" name="[YXNn_W2i0WVi2A]177:179">
    <vt:lpwstr>CIuIaV7OXMtI7k7UaVn1Gxi1qVG0rJh2Wl6I8c7PWN-0GlmZXNk0qtnZS6DZWlg2Wl617FGNC97LCJc_WtoI8c7QqVg0HVgYXJwR8Q7LCJoZX6oI8c7QqFgYrVgYXR-IHRcZSB1I-2-ZWh9YX95RGFt2G-hZSBN_Wtp2GVnXCI52XN-ZCBj07Bo_GU5QqVg0HVgYXI52qxm_rNcZWVoL7BU_G-nIG-nIHRc_XM51rVhIGxaIGFg0CBjZ7Bo_GU5</vt:lpwstr>
  </property>
  <property fmtid="{D5CDD505-2E9C-101B-9397-08002B2CF9AE}" pid="180" name="[YXNn_W2i0WVi2A]178:180">
    <vt:lpwstr>XCJU_Wp-IENcYXJbZWR1I7Ba0rI5YqFg0HM52G662CBjYqNp17Bj07BXZWVfZGFt1mB92XJd0a152G6-IER63XRd0WU50qs52G6-IEN60GlnIH2j1ahn_GV-2Cs74SlvIat60WU7O7JDYWl82Wl62GU5VGxoYWk5TW-i2XR-1mIgIa-9I8c73E6-WGY7LCJm2Wl-1mIuWrg7_WQ7O7JaV-dL1mIgIbBj_Wto1mIuMSk70WVn1qFbZSIuI-RcZSB</vt:lpwstr>
  </property>
  <property fmtid="{D5CDD505-2E9C-101B-9397-08002B2CF9AE}" pid="181" name="[YXNn_W2i0WVi2A]179:181">
    <vt:lpwstr>U0rR60CBN_Wtp2GVnIFVnZWQ5YqFgYrVgYXRd0qs5_XM50axoIGNj1bJ-YrQiIbp2LCJs0WldZCIuIaV7OXMtI7k7UaVn1Gxi1qVG0rJh2Wl6I8c7PWN-0GlmZXNk0qtnZS6DZWlg2Wl617FGN797LCJc_WtoI8c7QqVg0HVgYXJwR8Y7LCJoZX6oI8c7QqFgYrVgYXR-IHRcZSB1I-Rj2GFgIEpd0bVoZXM5VXN-ZFk7IGxiIHRcZSBDZWlg2W</vt:lpwstr>
  </property>
  <property fmtid="{D5CDD505-2E9C-101B-9397-08002B2CF9AE}" pid="182" name="[YXNn_W2i0WVi2A]180:182">
    <vt:lpwstr>l617Br0rJf1q6-ZXQiIFRc_XM5_XM52G6-IHNp0SBjZ7B60Gk50qY52G6-IFk7VG-hZSBD_GFmZqV9XCI50qs52G6-IEN60GlnIH2j1ahn_GV-2Cs74SlvIat60WU7O7JDYWl82Wl62GU5RXZ-0a-iZmAaIF2-ZWh-0aQ5TW-i2XR-1mIgIa-9I8c72HZc1VE7LCJm2Wl-1mIuWrg7_WQ7O7JOZVZcTSIgIbBj_Wto1mIuMSk70WVn1qFbZSIuI</vt:lpwstr>
  </property>
  <property fmtid="{D5CDD505-2E9C-101B-9397-08002B2CF9AE}" pid="183" name="[YXNn_W2i0WVi2A]181:183">
    <vt:lpwstr>-RcZSBF2aVi_WtbICY5VqV-_qViZCB8YWl82Wl62G-j07Bd1mBi0rQ5Yqxm1aV82Cs74VogIb6h0G-9I8c7ZWIt1n97LCJSZXNk0qtnZUZj1app0GE7O7IxYqVg0HJ-1rBj0bN-KEN-0Glp0GFmIUYpKSIgIa6d0bQ7O7JDZWlg2Wl61blGNSIgIbR-3HQ7O7JDYWl82Wl62GU52G6-IFk7RXZ-0a-iZmAaIF2-ZWh-0aQ5TW-i2XR-1pk7IHVn</vt:lpwstr>
  </property>
  <property fmtid="{D5CDD505-2E9C-101B-9397-08002B2CF9AE}" pid="184" name="[YXNn_W2i0WVi2A]182:184">
    <vt:lpwstr>ZWQ50qs52G6-IEN-0Glp0GFmIH2j1ahn_GV-2Cs5VG6d1mBd1mBo_GU5ZG-aZaVmZWt8ZSB7ZXRrZWViIHRcZSB1I-Rj2GFgIEpd0bVoZXM5VXN-ZFk7IGFiZCBo_GU5XCJXZWVfZGFtIER63XRd0WU5TW-i2XR-1pk7IGxiIHRcZSBDZWlg2Wl617Br0rJf1q6-ZXQiIbog3mJiYWp-I8c7QqFgYrVgYXR-IER62GE5VXN-ZCIgIa-9I8c7WX6</vt:lpwstr>
  </property>
  <property fmtid="{D5CDD505-2E9C-101B-9397-08002B2CF9AE}" pid="185" name="[YXNn_W2i0WVi2A]183:185">
    <vt:lpwstr>Y0-M7LCJm2Wl-1mIuWrg7_WQ7O7JeUFFdZSIgIbBj_Wto1mIuMSk70WVn1qFbZSIuI-RcZSBo0rR60CB9YXR6IHVnZWQ5YqFgYrVgYXRd0qs5_XM50axoIGNj1bJ-YrQiIbp2LCJs0WldZCIuIaV7OXMtI7k7UaVn1Gxi1qVG0rJh2Wl6I8c7PWN-0GlmZXNk0qtnZS6DZWlg2Wl617FGOC97LCJc_WtoI8c7QqVg0HVgYXJwR85gR8EqI7k72G</vt:lpwstr>
  </property>
  <property fmtid="{D5CDD505-2E9C-101B-9397-08002B2CF9AE}" pid="186" name="[YXNn_W2i0WVi2A]184:186">
    <vt:lpwstr>Vs2CIuI9N60GNp0GFoZSBo_GU5XCJEYXR6IFVnZWR1I7Bj07Bo_GU5QqVg0HVgYXI52qxm_rNcZWVoL7BU_G-nIG-nIHRcZSBn2Wo50qY5YWlgIGxaIHRcZSB9YXR6IHVnZWQ50qs52G6-IER62GE52qxm_rNcZWVoL7BO0rRdYqU52G662CBo_GFoIGR62GE52XN-ZCBj07Bo_GU5RGFoYSBr0rJf1q6-ZXQ5_XM5_Ws5_q-g0qJt2GVnL7BCZ</vt:lpwstr>
  </property>
  <property fmtid="{D5CDD505-2E9C-101B-9397-08002B2CF9AE}" pid="187" name="[YXNn_W2i0WVi2A]185:187">
    <vt:lpwstr>SBn2XJ-IHRjIGVs1HJ-1rM52G6-IGR62GE52XN-ZCBj07Bo_GU5QqVg0HVgYXI52qxm_rNcZWVoIG-iIG2dZqF73XR-1mAcZG-q_WR-IHRcZSBn2Wo50qY52G6-IGR62GE52XN-ZCBj07Bo_GU5RGFoYSBr0rJf1q6-ZXQ5Yb952G6-IGtp0WJ-17BjZ7Bf_WljYb-oZXM5_Ws5YSBb_W26Yb-oZSBa0rViZCBd07B8ZWlgIEYlN7sdIbog3mJi</vt:lpwstr>
  </property>
  <property fmtid="{D5CDD505-2E9C-101B-9397-08002B2CF9AE}" pid="188" name="[YXNn_W2i0WVi2A]186:188">
    <vt:lpwstr>YWp-I8c7QqFgYrVgYXR-IFR-3HRnIFN-0bQ7LCJdZCIuI-d939dsI7k71bVgZXM7O-hvIa-9I8c7R-N6QpY7LCJk0q-i2HM7O8EgIap-1rN6ZqU7O7JU_GU5VGVs2CBNZXNnYW2-1mBTZWtoIGN60GNp0GFo_WxiIG-nIGtj2CB80rJmZWNoL7JxXSk73Gpg_WQ7O7J-Y8-nOSIgI-J-1rBj0bN-Raxm0XVgYSIuI8p8ZWlg1aVn1Gxi1qUcQqV</vt:lpwstr>
  </property>
  <property fmtid="{D5CDD505-2E9C-101B-9397-08002B2CF9AE}" pid="189" name="[YXNn_W2i0WVi2A]187:189">
    <vt:lpwstr>g0HVgYXI6R8ElKSIgIa6d0bQ7O7JDZWlg2Wl61blGMTE7LCJoZX6oI8c7QqFgYrVgYXR-IHRcZSB1I-R-3HRnIFN-0bR1I7Bj07Bo_GU5QqVg0HVgYXI52qxm_rNcZWVoL7BU_G-nIG-nIHRcZSB80rVi2CBjZ7Bo_GU50WVn1qFbZXM50G-n2GV9IGxiIHRcZSBNZXNnYW2-1mBr0rJf1q6-ZXQ52G662CB61aU50G-n2GV9IGFnIFk7VGVs2F</vt:lpwstr>
  </property>
  <property fmtid="{D5CDD505-2E9C-101B-9397-08002B2CF9AE}" pid="190" name="[YXNn_W2i0WVi2A]188:190">
    <vt:lpwstr>k7IHRt1GU50qY50WVn1qFbZSs74SlvIat60WU7O7JDYWl82Wl62GU5TWV9_WE5VGVs2HM5UqVi2CIgIa-9I8c71HBeYbU7LCJm2Wl-1mIuWrg7_WQ7O7JPRb-h2mIgIbBj_Wto1mIuMSk70WVn1qFbZSIuI-RcZSBNZWRdYSBNZXNnYW2-1mBTZWtoIGN60GNp0GFo_WxiIG-nIGtj2CB80rJmZWNoL7JxXSk73Gpg_WQ7O7J-Y8-nOSIgI-J-1</vt:lpwstr>
  </property>
  <property fmtid="{D5CDD505-2E9C-101B-9397-08002B2CF9AE}" pid="191" name="[YXNn_W2i0WVi2A]189:191">
    <vt:lpwstr>rBj0bN-Raxm0XVgYSIuI8p8ZWlg1aVn1Gxi1qUcQqVg0HVgYXI6R8EmKSIgIa6d0bQ7O7JDZWlg2Wl61blGMTI7LCJoZX6oI8c7QqFgYrVgYXR-IHRcZSB1I9p-ZG-6IFR-3HRnIFN-0bR1I7Bj07Bo_GU5QqVg0HVgYXI52qxm_rNcZWVoL7BU_G-nIG-nIHRcZSB80rVi2CBjZ7Bo_GU50WVn1qFbZXM50G-n2GV9IGxiIHRcZSBNZXNnYW2-</vt:lpwstr>
  </property>
  <property fmtid="{D5CDD505-2E9C-101B-9397-08002B2CF9AE}" pid="192" name="[YXNn_W2i0WVi2A]190:192">
    <vt:lpwstr>1mBr0rJf1q6-ZXQ52G662CB61aU50G-n2GV9IGFnIFk7TWV9_WF1I7Bo3XB-IGxaIGp-1rN6ZqUiIbog3mJiYWp-I8c7QqFgYrVgYXR-IFRj2GFgIEp-1rN6ZqVnI7k7_WQ7O7JOUoxkYmIgIbJp0GVnI8d03mJdZCIuIaxJ3XVVI7k71Gxd0bRnI8clLCJhZXNnYW2-I8c7VG6-IFRj2GFgIEp-1rN6ZqVnIFN-0bQ5YqFgYrVgYXRd0qs5_XM</vt:lpwstr>
  </property>
  <property fmtid="{D5CDD505-2E9C-101B-9397-08002B2CF9AE}" pid="193" name="[YXNn_W2i0WVi2A]191:193">
    <vt:lpwstr>50axoIGNj1bJ-YrQiIbp2LCJs0WldZCIuIaV7OXMtI7k7UaVn1Gxi1qVG0rJh2Wl6I8c7PWN-0GlmZXNk0qtnZS6DZWlg2Wl617FGMTMdI7k7_G-i2CIuI9N-0Glp0GFm4EYlMmIgIbR-3HQ7O7JDYWl82Wl62GU52G6-IFk7VGxoYWk5TWVn1qFbZXM5UqVi2Fk7IGxiIHRcZSBDZWlg2Wl617Br0rJf1q6-ZXQiIFRc_XM5_XM52G6-IHNp0S</vt:lpwstr>
  </property>
  <property fmtid="{D5CDD505-2E9C-101B-9397-08002B2CF9AE}" pid="194" name="[YXNn_W2i0WVi2A]192:194">
    <vt:lpwstr>BjZ7Bo_GU5XCJUZX6oXCI5YWt9IFk7TWV9_WF1I7BhZXNnYW2-1mBnZWtoL7JxLHg70aFhZSIuI9pd0bVoZSBD_GFmZqVnIExk2G-j07AlI7k7_WQ7O7JSWUpG2mIgIbJp0GVnI8d03mJdZCIuIapbVbBdI7k71Gxd0bRnI8clLCJhZXNnYW2-I8c7VG6-IGN60Gk5Yq661a2-1mBa0rI50rBo_WxiIDE5YXJ-IGtj2CB80rJmZWNoL7JxLHg7_</vt:lpwstr>
  </property>
  <property fmtid="{D5CDD505-2E9C-101B-9397-08002B2CF9AE}" pid="195" name="[YXNn_W2i0WVi2A]193:195">
    <vt:lpwstr>WQ7O7J7RFZE07IgIbBj_Wto1mIuMCspLCJhZXNnYW2-I8c7VG6-IGN60Gk5Yq661a2-1mBa0rI50rBo_WxiIDE5YXJ-IGtj2CB80rJmZWNoIG-aIHRcZSBh_Wtp2GU5Yq661a2-1mB8_GFiZqUiIbog3mJdZCIuIahJS96jI7k71Gxd0bRnI8ckL8UgIap-1rN6ZqU7O7JU_GU5YqFg0CB8_GFmZqVnIGZj17Bj1HRd0qs5MSB61aU50axoIGNj</vt:lpwstr>
  </property>
  <property fmtid="{D5CDD505-2E9C-101B-9397-08002B2CF9AE}" pid="196" name="[YXNn_W2i0WVi2A]194:196">
    <vt:lpwstr>1bJ-YrQ5_WY52G6-IHRj2GFgIGpd0bVoZXM5Yq660a2-L7JxXSk73Gpg_WQ7O7J-Y8-nOSIgI-J-1rBj0bN-Raxm0XVgYSIuI8p8ZWlg1aVn1Gxi1qUcQqVg0HVgYXI6STQdI7k7_G-i2CIuI9N-0Glp0GFm4E9oI7k72GVs2CIuI9N60GNp0GFoZSBo_GU5TW-i2XR-IENcYXJbZXM5ZaxmIGxk2G-j07AlL7BU_G-nIG-nIHRcZSB1I-Rj2GF</vt:lpwstr>
  </property>
  <property fmtid="{D5CDD505-2E9C-101B-9397-08002B2CF9AE}" pid="197" name="[YXNn_W2i0WVi2A]195:197">
    <vt:lpwstr>gIEpd0bVoZXM5VXN-ZFk7IHRd0WVnIHRcZSB1I9pd0bVoZSBD_GFmZqVnXCI5ZaxmIGxk2G-j07AlIC6i0rRdYqU52G662CB60Gk5YqFg0HM5YXJ-IHNpYad-YrQ52Gw52G6-IGNcYXJbZXM51aVbYXJ90GVn1mBjZ7Br_GViIHRcZSB8YWlgIG-nIHBgYWN-ZC9iIbog3mJiYWp-I8c7RGFoYSBD_GFmZqVnIExk2G-j07AlI7k7_WQ7O7Js2V</vt:lpwstr>
  </property>
  <property fmtid="{D5CDD505-2E9C-101B-9397-08002B2CF9AE}" pid="198" name="[YXNn_W2i0WVi2A]196:198">
    <vt:lpwstr>6a27IgIbJp0GVnI8d03mJdZCIuIa2lRX-eI7k71Gxd0bRnI8clLCJhZXNnYW2-I8c7VG6-IGR62GE5Yq661a2-1mBa0rI50rBo_WxiIDE5YXJ-IGtj2CB80rJmZWNoL7JxLHg7_WQ7O7J7RaRP_7IgIbBj_Wto1mIuMCspLCJhZXNnYW2-I8c7VG6-IGR62GE5Yq661a2-1mBa0rI50rBo_WxiIDE5YXJ-IGtj2CB80rJmZWNoIG-aIHRcZSB8_</vt:lpwstr>
  </property>
  <property fmtid="{D5CDD505-2E9C-101B-9397-08002B2CF9AE}" pid="199" name="[YXNn_W2i0WVi2A]197:199">
    <vt:lpwstr>GFmZqU51GVmIGp-ZqF73XR-IGNcYWtbZXMiIbog3mJdZCIuIbVdUqtfI7k71Gxd0bRnI8ckL8UgIap-1rN6ZqU7O7JU_GU5ZGFoYSB8_GFmZqVnIGZj17Bj1HRd0qs5MSB61aU50axoIGNj1bJ-YrQ5_WY52G6-IGFh0rVi2CBjZ7B9YXR6IGNj0bNp0WV9IGNcYWtbZXMiIbp2LCJs0WldZCIuIaV7OXMtI7k7UaVn1Gxi1qVG0rJh2Wl6I8c7</vt:lpwstr>
  </property>
  <property fmtid="{D5CDD505-2E9C-101B-9397-08002B2CF9AE}" pid="200" name="[YXNn_W2i0WVi2A]198:200">
    <vt:lpwstr>PWN-0GlmZXNk0qtnZS6DZWlg2Wl617FJNS97LCJc_WtoI8c7QqVg0HVgYXJwSTU7LCJoZX6oI8c7QqFgYrVgYXR-IHRcZSBEYXR6IENcYXJbZXM5ZaxmIGxk2G-j07AlL7BU_G-nIG-nIHRcZSB1I9R62GE5VXN-ZCAcZq-bYWJt2GVnKVk7IHRd0WVnIHRcZSB1I9R62GE5Qq661a2-1mBkZXI5TWVbYWJt2GV1I7Ba0rI50rBo_WxiIDE5KGt</vt:lpwstr>
  </property>
  <property fmtid="{D5CDD505-2E9C-101B-9397-08002B2CF9AE}" pid="201" name="[YXNn_W2i0WVi2A]199:201">
    <vt:lpwstr>j2G-8ZSBo_GFoIHRcZSB8_GFmZqVnIH2d0Gk50aV-ZCBo0mB7ZSB6ZGdp1rR-ZCBn_Wt8ZSBo_GU5ZGFoYSBp1qV9IG-nIGN60GNp0GFoZWQ5_Ws5Zq-bYWJt2GVnKSs74SlvIat60WU7O7JUZX6oIENcYXJbZXM5TrBo_WxiIDE7LCJdZCIuIaRf2Wh8I7k71bVgZXM7O-hvIa-9I8c7_oRs1U97LCJk0q-i2HM7O8EgIap-1rN6ZqU7O7JU_G</vt:lpwstr>
  </property>
  <property fmtid="{D5CDD505-2E9C-101B-9397-08002B2CF9AE}" pid="202" name="[YXNn_W2i0WVi2A]200:202">
    <vt:lpwstr>U52GVs2CBhZXNnYW2-IGNcYXJbZXM5ZaxmIGxk2G-j07AlIGFmZSB80rJmZWNoL7JxLHg7_WQ7O7JUSqlEZ7IgIbBj_Wto1mIuMCspLCJhZXNnYW2-I8c7VG6-IHR-3HQ50WVn1qFbZXM5Yq661a2-1mB61aU5_Wt80rJmZWNoIH2cZWs52G6-IHR-3HQ50WVn1qFbZXM5_Wt80HV9ZWQ5_Ws52G6-IHBgYWs5Yq660a2-Ibog3mJdZCIuI-ZZ3</vt:lpwstr>
  </property>
  <property fmtid="{D5CDD505-2E9C-101B-9397-08002B2CF9AE}" pid="203" name="[YXNn_W2i0WVi2A]201:203">
    <vt:lpwstr>UZgI7k71Gxd0bRnI8ckL8UgIap-1rN6ZqU7O7JU_GU52GVs2CBhZXNnYW2-1mB8_GFiZqVnIGFmZSBd0aNj1bJ-YrQ52q6-07Bo_GU5Yq661a2-IHB-17BoZX6oIGp-1rN6ZqU5Yq660a2-1ms74SlvIa-9I8c73EJUSH97LCJk0q-i2HM7O8EgIap-1rN6ZqU7O7JU_GU52GVs2CBhZXNnYW2-1mB8_GFiZqVnIGFmZSBd0aNj1bJ-YrQ52q6-</vt:lpwstr>
  </property>
  <property fmtid="{D5CDD505-2E9C-101B-9397-08002B2CF9AE}" pid="204" name="[YXNn_W2i0WVi2A]202:204">
    <vt:lpwstr>07Bo_GU50bVhYaVmIGxaIHR-3HQ50WVn1qFbZXM5Yq660a2-L7JxXSk73Gpg_WQ7O7J-Y8-nOSIgI-J-1rBj0bN-Raxm0XVgYSIuI8p8ZWlg1aVn1Gxi1qUcQqVg0HVgYXI6STYdI7k7_G-i2CIuI9N-0Glp0GFm4E9qI7k72GVs2CIuI9N60GNp0GFoZSBo_GU5VGVs2CBNZXNnYW2-KGtj2CBhZWRdYSBhZXNnYW2-1mAhIHRcZXN-IGFmZSB</vt:lpwstr>
  </property>
  <property fmtid="{D5CDD505-2E9C-101B-9397-08002B2CF9AE}" pid="205" name="[YXNn_W2i0WVi2A]203:205">
    <vt:lpwstr>7_WlgZWQ51qVkYXJ62GVg3SB60aQ50axoIG-iYqlpZGV9IG-iIHRcZSB1IaZmZWU50WVn1qFbZXN1I7Ba0rI50rBo_WxiIDEdIGNcYXJbZXM5ZaxmIGxk2G-j07AlL7BU_G-nIG-nIGN60GNp0GFoZWQ5YXM50bVhYaVmIGxaIHR-3HQ50WVn1qFbZXM51qVi2CBo_GFoIGVsYqV-ZCBo_GU50bVhYaVmIG-iYqlpZGV9IG-iIHRcZSBk0GFiIH</vt:lpwstr>
  </property>
  <property fmtid="{D5CDD505-2E9C-101B-9397-08002B2CF9AE}" pid="206" name="[YXNn_W2i0WVi2A]204:206">
    <vt:lpwstr>Rd0WVnIHRcZSBoZX6oIGp-1rN6ZqU5Yq661a2-1mBa0rI50rBo_WxiIDEiIbog3mJiYWp-I8c7TWV9_WE5Qq661a2-1mBP1HRd0qs5MSIgIa-9I8c7R9xY3Gg7LCJm2Wl-1mIuWrg7_WQ7O7JE_HV8R7IgIbBj_Wto1mIuMSk70WVn1qFbZSIuI-RcZSB8_GFmZqU5ZaxmIGp-ZG-6IGp-1rN6ZqVnIG-nIGtj2CB80rJmZWNoL7JxLHg7_WQ7O</vt:lpwstr>
  </property>
  <property fmtid="{D5CDD505-2E9C-101B-9397-08002B2CF9AE}" pid="207" name="[YXNn_W2i0WVi2A]205:207">
    <vt:lpwstr>7Jf3H-6TmIgIbBj_Wto1mIuMCspLCJhZXNnYW2-I8c7VG6-IGNcYXJbZSBa0rI50WV9_WE50WVn1qFbZXM5_XM50axoIGNj1bJ-YrQ52q6-07Bo_GU5Yq661a2-1mBkZXI50WV9_WE50WVn1qFbZSB8_GFiZqUiIbog3mJdZCIuIb-oTWZKI7k71Gxd0bRnI8ckL8UgIap-1rN6ZqU7O7JU_GU5Yq661a2-IGZj17BhZWRdYSBhZXNnYW2-1mBd</vt:lpwstr>
  </property>
  <property fmtid="{D5CDD505-2E9C-101B-9397-08002B2CF9AE}" pid="208" name="[YXNn_W2i0WVi2A]206:208">
    <vt:lpwstr>1mBi0rQ5Yqxm1aV82CBr_GViIHRcZSBi2Wp7ZXI50qY50WV9_WE50WVn1qFbZXM5Yq660a2-1ms74VogIb6h0G-9I8c7ZWIt1n97LCJSZXNk0qtnZUZj1app0GE7O7IxYqVg0HJ-1rBj0bN-KEN-0Glp0GFmIU9rKSIgIa6d0bQ7O7JDZWlg2Wl61blJNmIgIbR-3HQ7O7JDYWl82Wl62GU52G6-IEp-ZG-6IEp-1rN6ZqU5Yq661a2-1mBa0rI</vt:lpwstr>
  </property>
  <property fmtid="{D5CDD505-2E9C-101B-9397-08002B2CF9AE}" pid="209" name="[YXNn_W2i0WVi2A]207:209">
    <vt:lpwstr>50rBo_WxiIDEiIFRc_XM5_XM5YqFgYrVgYXR-ZCB61mBi2Wp7ZXI50qY50WV9_WE50WVn1qFbZXM51qVi2CBo_Wp-1mBo_GU50WV9_WE50WVn1qFbZSB8_GFmZqVnIGZj17Bj1HRd0qs5MSs74SlvIat60WU7O7JP1HRd0qs5MSBT2WJo0rR60CIgIa-9I8c7_-ZNSq17LCJm2Wl-1mIuWrg7_WQ7O7JaUFBpTSIgIbBj_Wto1mIuMCspLCJhZX</vt:lpwstr>
  </property>
  <property fmtid="{D5CDD505-2E9C-101B-9397-08002B2CF9AE}" pid="210" name="[YXNn_W2i0WVi2A]208:210">
    <vt:lpwstr>NnYW2-I8c7VG6-IFRj2GFgIENcYXJbZXM5ZaxmIGxk2G-j07AlIG-nIGtj2CB80rJmZWNoL7JxLHg7_WQ7O7JeY-VgVmIgIbBj_Wto1mIuMCspLCJhZXNnYW2-I8c7VG6-IFRj2GFgIENcYXJbZXM5ZaxmIGxk2G-j07AlIGRjIGtj2CBmZWZ-1aViYqU52G6-IGxo_GVmIGNcYXJbZXMiIbp2LCJs0WldZCIuIaV7OXMtI7k7UaVn1Gxi1qVG0</vt:lpwstr>
  </property>
  <property fmtid="{D5CDD505-2E9C-101B-9397-08002B2CF9AE}" pid="211" name="[YXNn_W2i0WVi2A]209:211">
    <vt:lpwstr>rJh2Wl6I8c7PWN-0GlmZXNk0qtnZS6DZWlg2Wl617FJOS97LCJc_WtoI8c7QqVg0HVgYXJwST97LCJoZX6oI8c7QqFgYrVgYXR-IHRcZSBU0rR60CBD_GFmZqVnIGZj17Bj1HRd0qs5MSs5VG6d1mBd1mBo_GU51rVhIGxaIGFg0CBjZ7Bo_GU5ZG-aZaVmZWtoIGNcYXJbZXM5ZaxmIHRc_XM50rBo_WxiL7JxLHg70aFhZSIuI9xk2G-j07Al</vt:lpwstr>
  </property>
  <property fmtid="{D5CDD505-2E9C-101B-9397-08002B2CF9AE}" pid="212" name="[YXNn_W2i0WVi2A]210:212">
    <vt:lpwstr>IFR63CIgIa-9I8c71-ZC3Gs7LCJm2Wl-1mIuWrg7_WQ7O7J-_Wl_ZmIgIbBj_Wto1mIuMCspLCJhZXNnYW2-I8c7VG6-IFR63GVnIGZj17BP1HRd0qs5MSB61aU5Yqxm1aV82Cs74SlvIa-9I8c70HVcRV17LCJk0q-i2HM7O8AiNSk70WVn1qFbZSIuI-RcZSBUYX6-1mB8YWl82Wl62G-j07Ba0rI5TrBo_WxiIDE5ZGw50axoIHJ-ZaVmZWt</vt:lpwstr>
  </property>
  <property fmtid="{D5CDD505-2E9C-101B-9397-08002B2CF9AE}" pid="213" name="[YXNn_W2i0WVi2A]211:213">
    <vt:lpwstr>8ZSBo_GU5VGxoYWk5Qq661a2-1mB60aQ5VGFsIHJ62GUiIbp2LCJs0WldZCIuIaV7OXMtI7k7UaVn1Gxi1qVG0rJh2Wl6I8c7PWN-0GlmZXNk0qtnZS6DZWlg2Wl617FJMTAdI7k7_G-i2CIuI9N-0Glp0GFm4E9lMCIgIbR-3HQ7O7JDYWl82Wl62GU52G6-IFR63GVnIGFiZCBGZWVnIGZj17Bj1HRd0qs5MSs5VG6d1mBd1mBo_GU52GxoYW</vt:lpwstr>
  </property>
  <property fmtid="{D5CDD505-2E9C-101B-9397-08002B2CF9AE}" pid="214" name="[YXNn_W2i0WVi2A]212:214">
    <vt:lpwstr>k5Yq661a2-1mBo_Wp-1mBo_GU5QqVg0HVgYXI5VGFsLoZ-ZSBSYXR-L7JxLHg70aFhZSIuI9xk2G-j07AlIEJd0Gk7LCJdZCIuI--hT96mI7k71bVgZXM7O-hvIa-9I8c7RWJiQ-A7LCJk0q-i2HM7O8AiNSk70WVn1qFbZSIuI-RcZSBU0rR60CBC_WlgIGZj17BP1HRd0qs5MSBd1mBi0rQ5Yqxm1aV82Cs74SlvIa-9I8c7YWRjS9k7LCJk0</vt:lpwstr>
  </property>
  <property fmtid="{D5CDD505-2E9C-101B-9397-08002B2CF9AE}" pid="215" name="[YXNn_W2i0WVi2A]213:215">
    <vt:lpwstr>q-i2HM7O8AiNSk70WVn1qFbZSIuI-RcZSBU0rR60CBC_WlgIGZj17BP1HRd0qs5MSB90qVnIGtj2CBmZWZ-1aViYqU52G6-IFRj2GFgIENcYXJbZXM5YWt9IFR63CB60Wxp0bRnL7JxXSk73Gpg_WQ7O7J-Y8-nOSIgI-J-1rBj0bN-Raxm0XVgYSIuI8p8ZWlg1aVn1Gxi1qUcQqVg0HVgYXI6STElKSIgIa6d0bQ7O7JDZWlg2Wl61blJMTE7</vt:lpwstr>
  </property>
  <property fmtid="{D5CDD505-2E9C-101B-9397-08002B2CF9AE}" pid="216" name="[YXNn_W2i0WVi2A]214:216">
    <vt:lpwstr>LCJoZX6oI8c7QqFgYrVgYXR-IHRcZSBU0rR60CBC_WlgIGZj17Bj1HRd0qs5MSs5VG6d1mBd1mBo_GU51rVhIGxaIHRcZSBo0rR60CB8_GFmZqVnIGFiZCBo_GU52GFsZXM5YWt9IGZ-ZXM5ZaxmIHRc_XM50rBo_WxiL7JxLHg70aFhZSIuI9xk2G-j07AmIEpj0bRc0H95Qqxn2CIgIa-9I8c7YqJh1Hc7LCJm2Wl-1mIuWrg7_WQ7O7Jo_oZ</vt:lpwstr>
  </property>
  <property fmtid="{D5CDD505-2E9C-101B-9397-08002B2CF9AE}" pid="217" name="[YXNn_W2i0WVi2A]215:217">
    <vt:lpwstr>hRmIgIbBj_Wto1mIuMSk70WVn1qFbZSIuI-RcZSBN0qto_GltIENj1rQ5ZaxmIExk2G-j07AmIG-nIG-iYqxm1aV82Cs74SlvIa-9I8c7Y9JK_ow7LCJk0q-i2HM7O8EgIap-1rN6ZqU7O7JU_GU5TWxi2G6g3SBD0rNoIGZj17BP1HRd0qs5M7B90qVnIGtj2CBmZWZ-1aViYqU52G6-IG-i1HVo1ms74VogIb6h0G-9I8c7ZWIt1n97LCJSZX</vt:lpwstr>
  </property>
  <property fmtid="{D5CDD505-2E9C-101B-9397-08002B2CF9AE}" pid="218" name="[YXNn_W2i0WVi2A]216:218">
    <vt:lpwstr>Nk0qtnZUZj1app0GE7O7IxYqVg0HJ-1rBj0bN-KEN-0Glp0GFmIU9lNC97LCJc_WtoI8c7QqVg0HVgYXJwSTEoI7k72GVs2CIuI9N60GNp0GFoZSBo_GU5TWxi2G6g3SBD0rNoIGZj17Bj1HRd0qs5M7s5UaVaZXJ-0aN-IHRcZSBh0qto_GltIGNj1rQ5ZaxmIGxk2G-j07AmIG-iIHRcZSBh0qR-0CBd0bBp2HMiIbog3mJiYWp-I8c7TrBo_</vt:lpwstr>
  </property>
  <property fmtid="{D5CDD505-2E9C-101B-9397-08002B2CF9AE}" pid="219" name="[YXNn_W2i0WVi2A]217:219">
    <vt:lpwstr>WxiIDI5TrZ-17ph_Wtp2GU5Qq661a2-I7k7_WQ7O7JXSWFZWSIgIbJp0GVnI8d03mJdZCIuI-JV1aJ8I7k71Gxd0bRnI8clLCJhZXNnYW2-I8c7VG6-IExqZXIhTW-i2XR-IGNcYXJbZXM5ZaxmIExk2G-j07AmIGFmZSBi0rQ5Yqxm1aV82Cs74SlvIa-9I8c70rRa_ok7LCJk0q-i2HM7O8EgIap-1rN6ZqU7O7JU_GU5TrZ-17pN_Wtp2GU5</vt:lpwstr>
  </property>
  <property fmtid="{D5CDD505-2E9C-101B-9397-08002B2CF9AE}" pid="220" name="[YXNn_W2i0WVi2A]218:220">
    <vt:lpwstr>Yq661a2-1mBa0rI5TrBo_WxiIDI5YXJ-IGtj2CB80rJmZWNoIG-aIHRcZSBh_Wtp2GU5Yq661a2-1mB8_GFiZqUiIbog3mJdZCIuI96k_aVgI7k71Gxd0bRnI8clLCJhZXNnYW2-I8c7VG6-IExqZXIhTW-i2XR-IGNcYXJbZXM5ZaxmIExk2G-j07AmIGFmZSBi0rQ5Yqxm1aV82CBdZ7Bo_GU52GxoYWk50W-i2XR-1mB8_GFiZqUiIbog3mJ</vt:lpwstr>
  </property>
  <property fmtid="{D5CDD505-2E9C-101B-9397-08002B2CF9AE}" pid="221" name="[YXNn_W2i0WVi2A]219:221">
    <vt:lpwstr>dZCIuIbVZ1Gd6I7k71Gxd0bRnI8clLCJhZXNnYW2-I8c7VG6-IExqZXIhTW-i2XR-IGNcYXJbZXM5ZaxmIExk2G-j07AmIGFmZSBi0rQ5Yqxm1aV82CBdZ7Bo_GU50W-i2XR-1mBd0aNg2WR-ZCBd07Bo_GU51Gl607B8_GFiZqUiIbp2LCJs0WldZCIuIaV7OXMtI7k7UaVn1Gxi1qVG0rJh2Wl6I8c7PWN-0GlmZXNk0qtnZS6DZWlg2Wl617</vt:lpwstr>
  </property>
  <property fmtid="{D5CDD505-2E9C-101B-9397-08002B2CF9AE}" pid="222" name="[YXNn_W2i0WVi2A]220:222">
    <vt:lpwstr>FJMTUdI7k7_G-i2CIuI9N-0Glp0GFm4E9lNSIgIbR-3HQ7O7JDYWl82Wl62GU52G6-IExqZXIh0W-i2XR-IENcYXJbZXM5ZaxmIGxk2G-j07AmL7BU_G-nIG-nIHRcZSBi2Wp7ZXI50qY50W-i2XR-1mBp1qV9IHRcYXQ5ZX68ZWV9IHRcZSBh_Wtp2GVnIG-iYqlpZGV9IG-iIHRcZSBk0GFiIHRd0WVnIHRcZSBj2aVmIGpd0bVoZSB8_GFmZ</vt:lpwstr>
  </property>
  <property fmtid="{D5CDD505-2E9C-101B-9397-08002B2CF9AE}" pid="223" name="[YXNn_W2i0WVi2A]221:223">
    <vt:lpwstr>qVnL7BO0rR-O7BJ07Bo_G-nIHBgYWs50a-b_HQ5YWt9IH2-ZWh-0aQ50W-i2XR-1mB61aU5ZbJ-ZSs74SlvIat60WU7O7JP1HRd0qs5M7BP2aVmLWR62GE5Qq661a2-I7k7_WQ7O7JQ_-FkRCIgIbJp0GVnI8d03mJdZCIuIa-IRbdMI7k71Gxd0bRnI8clLCJhZXNnYW2-I8c7VG6-IExqZXIhRGFoYSB8_GFmZqVnIGZj17BP1HRd0qs5M7B6</vt:lpwstr>
  </property>
  <property fmtid="{D5CDD505-2E9C-101B-9397-08002B2CF9AE}" pid="224" name="[YXNn_W2i0WVi2A]222:224">
    <vt:lpwstr>1aU50axoIGNj1bJ-YrQiIbog3mJdZCIuIbFUQaVCI7k71Gxd0bRnI8ckL8UgIap-1rN6ZqU7O7JU_GU5TrZ-17pEYXR6IGNcYXJbZXM5ZaxmIExk2G-j07AmIGFmZSBi0rQ5Yqxm1aV82CBdZ7Bo_GU5ZGFoYSB8_GFmZqVnIGNcYWtbZSs74SlvIa-9I8c7UGRSW9c7LCJk0q-i2HM7O8AiNSk70WVn1qFbZSIuI-RcZSBP2aVmLUR62GE5Yq6</vt:lpwstr>
  </property>
  <property fmtid="{D5CDD505-2E9C-101B-9397-08002B2CF9AE}" pid="225" name="[YXNn_W2i0WVi2A]223:225">
    <vt:lpwstr>61a2-1mBa0rI5TrBo_WxiIDI5YXJ-IGtj2CB80rJmZWNoIG-aIHRcZSBo0rR60CB9YXR6IHVnZWQ5Yq660a2-1ms74SlvIa-9I8c7Z9FtWbQ7LCJk0q-i2HM7O8EgIap-1rN6ZqU7O7JU_GU5TrZ-17pEYXR6IGNcYXJbZXM5ZaxmIExk2G-j07AmIGFmZSBi0rQ5Yqxm1aV82CBdZ7Bo_GU5ZGFoYSBd0aNg2WR-ZCBd07Bo_GU51Gl607B8_G</vt:lpwstr>
  </property>
  <property fmtid="{D5CDD505-2E9C-101B-9397-08002B2CF9AE}" pid="226" name="[YXNn_W2i0WVi2A]224:226">
    <vt:lpwstr>FiZqVnL7JxXSk73Gpg_WQ7O7J-Y8-nOSIgI-J-1rBj0bN-Raxm0XVgYSIuI8p8ZWlg1aVn1Gxi1qUcQqVg0HVgYXI6STEqKSIgIa6d0bQ7O7JDZWlg2Wl61blJMTY7LCJoZX6oI8c7QqFgYrVgYXR-IHRcZSBP2aVmLWR62GE5Qq661a2-1mBa0rI50rBo_WxiIDIiIFRc_XM5_XM52G6-IGFh0rVi2CBjZ7B9YXR6IHVnZWQ52G662CB-3GN-Z</vt:lpwstr>
  </property>
  <property fmtid="{D5CDD505-2E9C-101B-9397-08002B2CF9AE}" pid="227" name="[YXNn_W2i0WVi2A]225:227">
    <vt:lpwstr>WQ52G6-IGR62GE5_Wt80HV9ZWQ5_Ws52G6-IHBgYWs52G-hZXM52G6-IExqZXIhRGFoYSBD_GFmZqVnIHB-17BhZW26Yb-oZSs5TWFfZSBn2XJ-IHRcYXQ53WxpIGF9_bVn2CBo_GU50rZ-17p9YXR6IGNcYXJbZXM51q-iYqU52G6-IGR62GE52XN-ZCBd1mBmZXBj1bR-ZCBd07Bb_W26Yb-oZXMiIbog3mJiYWp-I8c7TrBo_WxiIDI5QWR9</vt:lpwstr>
  </property>
  <property fmtid="{D5CDD505-2E9C-101B-9397-08002B2CF9AE}" pid="228" name="[YXNn_W2i0WVi2A]226:228">
    <vt:lpwstr>_XRd0qt60CBNZXNnYW2-IENcYXJbZSIgIa-9I8c7W-Bc3Ww7LCJm2Wl-1mIuWrg7_WQ7O7JEZWpsVmIgIbBj_Wto1mIuMSk70WVn1qFbZSIuI-RcZSBP2aVmLUp-1rN6ZqU5Yq661a2-1mBa0rI5TrBo_WxiIDI5YXJ-IGtj2CB80rJmZWNoL7JxLHg7_WQ7O7JK3H6R3CIgIbBj_Wto1mIuMCspLCJhZXNnYW2-I8c7VG6-IExqZXIhTWVn1qF</vt:lpwstr>
  </property>
  <property fmtid="{D5CDD505-2E9C-101B-9397-08002B2CF9AE}" pid="229" name="[YXNn_W2i0WVi2A]227:229">
    <vt:lpwstr>bZSB8_GFmZqVnIGZj17BP1HRd0qs5M7B61aU50axoIGNj1bJ-YrQ5_WY52G6-IGp-1rN6ZqU5Yq661a2-1mB8_GFiZqUiIbog3mJdZCIuIaFDUbZLI7k71Gxd0bRnI8ckL8UgIap-1rN6ZqU7O7JU_GU5TrZ-17pNZXNnYW2-IGNcYXJbZXM5ZaxmIExk2G-j07AmIGFmZSBi0rQ5Yqxm1aV82CBdZ7Bo_GU52GxoYWk50WVn1qFbZXM52XN-ZC</vt:lpwstr>
  </property>
  <property fmtid="{D5CDD505-2E9C-101B-9397-08002B2CF9AE}" pid="230" name="[YXNn_W2i0WVi2A]228:230">
    <vt:lpwstr>B8_GFiZqUiIbog3mJdZCIuIa2c_o2WI7k71Gxd0bRnI8clLCJhZXNnYW2-I8c7VG6-IExqZXIhTWVn1qFbZSB8_GFmZqVnIGZj17BP1HRd0qs5M7B61aU50axoIGNj1bJ-YrQ5_WY52G6-IGp-1rN6ZqVnIG-iYqlpZGV9IG-iIHRcZSBk0GFiIGNcYWtbZSs74VogIb6h0G-9I8c7ZWIt1n97LCJSZXNk0qtnZUZj1app0GE7O7IxYqVg0HJ-1</vt:lpwstr>
  </property>
  <property fmtid="{D5CDD505-2E9C-101B-9397-08002B2CF9AE}" pid="231" name="[YXNn_W2i0WVi2A]229:231">
    <vt:lpwstr>rBj0bN-KEN-0Glp0GFmIU9lNm97LCJc_WtoI8c7QqVg0HVgYXJwSTErI7k72GVs2CIuI9N60GNp0GFoZSBo_GU5QWR9_XRd0qt60CBNZXNnYW2-IENcYXJbZXM5ZaxmIGxk2G-j07AmL7BU_G-nIG-nIHRcZSBi2Wp7ZXI50qY52GxoYWk50WVn1qFbZXM52G662CB-3GN-ZWQ52G6-IGp-1rN6ZqVnIG-iYqlpZGV9IG-iIHRcZSBk0GFiIC6i</vt:lpwstr>
  </property>
  <property fmtid="{D5CDD505-2E9C-101B-9397-08002B2CF9AE}" pid="232" name="[YXNn_W2i0WVi2A]230:232">
    <vt:lpwstr>0rRdYqU52G6d1mBk0GFiIGRjZXM50axoIGRd1rRd0a2p_XNcIGJ-2H2-ZWs52GVs2CB60aQ50WV9_WE50WVn1qFbZXMdIHRd0WVnIHRcZSBP2aVmLWp-1rN6ZqU5Qq661a2-1mBkZXI50WVn1qFbZSs74SlvIat60WU7O7JP1HRd0qs5M7BT2WJo0rR60CIgIa-9I8c7VWV_R9k7LCJm2Wl-1mIuWrg7_WQ7O7JXR9RL2mIgIbBj_Wto1mIuMCs</vt:lpwstr>
  </property>
  <property fmtid="{D5CDD505-2E9C-101B-9397-08002B2CF9AE}" pid="233" name="[YXNn_W2i0WVi2A]231:233">
    <vt:lpwstr>pLCJhZXNnYW2-I8c7VG6-IFNpYbRj2GFgIGZj17BP1HRd0qs5M7Bd1mBi0rQ5Yqxm1aV82Cs74SlvIa-9I8c7T9pX3GY7LCJk0q-i2HM7O8AiNSk70WVn1qFbZSIuI-RcZSBT2WJo0rR60CBa0rI5TrBo_WxiIDI5ZGx-1mBi0rQ51aVaZXJ-0aN-IHRcZSBh0qto_GltIGNcYXJbZXM5ZaxmIExk2G-j07AmL7JxXSk73Gpg_WQ7O7J-Y8-nOS</vt:lpwstr>
  </property>
  <property fmtid="{D5CDD505-2E9C-101B-9397-08002B2CF9AE}" pid="234" name="[YXNn_W2i0WVi2A]232:234">
    <vt:lpwstr>IgI-J-1rBj0bN-Raxm0XVgYSIuI8p8ZWlg1aVn1Gxi1qUcQqVg0HVgYXI6STEtKSIgIa6d0bQ7O7JDZWlg2Wl61blJMT97LCJoZX6oI8c7QqFgYrVgYXR-IHRcZSBU0rR60CBD_GFmZqVnIGZj17Bj1HRd0qs5M7s5VG6d1mBd1mBo_GU51rVhIGxaIGFg0CBjZ7Bo_GU5ZG-aZaVmZWtoIGNcYXJbZXM5ZaxmIHRc_XM50rBo_WxiL7JxLHg70</vt:lpwstr>
  </property>
  <property fmtid="{D5CDD505-2E9C-101B-9397-08002B2CF9AE}" pid="235" name="[YXNn_W2i0WVi2A]233:235">
    <vt:lpwstr>aFhZSIuI9xk2G-j07AmIFR63CIgIa-9I8c7VH6r_a17LCJm2Wl-1mIuWrg7_WQ7O7JCQrNkRmIgIbBj_Wto1mIuMCspLCJhZXNnYW2-I8c7VG6-IFR63CB8YWl82Wl62G-j07Ba0rI5TrBo_WxiIDI5_XM50axoIGNj1bJ-YrQiIbog3mJdZCIuIb6u0GZdI7k71Gxd0bRnI8ckL8UgIap-1rN6ZqU7O7JU_GU5VGFsIGN60GNp0GFo_WxiIGZj</vt:lpwstr>
  </property>
  <property fmtid="{D5CDD505-2E9C-101B-9397-08002B2CF9AE}" pid="236" name="[YXNn_W2i0WVi2A]234:236">
    <vt:lpwstr>17BP1HRd0qs5M7B90qVnIGtj2CBmZWZ-1aViYqU52G6-IFR63CBmYXR-IGxmIHRcZSBT2WJo0rR60CBa0rI5TrBo_WxiIDIiIbp2LCJs0WldZCIuIaV7OXMtI7k7UaVn1Gxi1qVG0rJh2Wl6I8c7PWN-0GlmZXNk0qtnZS6DZWlg2Wl617FJM8AdI7k7_G-i2CIuI9N-0Glp0GFm4E9mMCIgIbR-3HQ7O7JDYWl82Wl62GU52G6-IFR63GVnIGF</vt:lpwstr>
  </property>
  <property fmtid="{D5CDD505-2E9C-101B-9397-08002B2CF9AE}" pid="237" name="[YXNn_W2i0WVi2A]235:237">
    <vt:lpwstr>iZCBGZWVnIGZj17Bj1HRd0qs5M7s5VG6d1mBd1mBo_GU52GxoYWk5Yq661a2-1mBo_Wp-1mBo_GU5QqVg0HVgYXI5VGFsLoZ-ZSBSYXR-L7JxLHg70aFhZSIuI9xk2G-j07AmIEJd0Gk7LCJdZCIuIbNk3ElQI7k71bVgZXM7O-hvIa-9I8c7ZEptWbM7LCJk0q-i2HM7O8EgIap-1rN6ZqU7O7JU_GU5VGxoYWk5Qa-g0CBa0rI5TrBo_WxiID</vt:lpwstr>
  </property>
  <property fmtid="{D5CDD505-2E9C-101B-9397-08002B2CF9AE}" pid="238" name="[YXNn_W2i0WVi2A]236:238">
    <vt:lpwstr>I5_XM5_Wt80rJmZWNoL7JxLHg7_WQ7O7JiSUxaT7IgIbBj_Wto1mIuMSk70WVn1qFbZSIuI-RcZSBU0rR60CBC_WlgIGZj17BP1HRd0qs5M7B90qVnIGtj2CBmZWZ-1aViYqU52G6-IFR63CB60aQ5UrV72GxoYWk5ZaxmIExk2G-j07AmL7JxXSk73Gpg_WQ7O7J-Y8-nOSIgI-J-1rBj0bN-Raxm0XVgYSIuI8p8ZWlg1aVn1Gxi1qUcQqVg0</vt:lpwstr>
  </property>
  <property fmtid="{D5CDD505-2E9C-101B-9397-08002B2CF9AE}" pid="239" name="[YXNn_W2i0WVi2A]237:239">
    <vt:lpwstr>HVgYXI6STIlKSIgIa6d0bQ7O7JDZWlg2Wl61blJM8E7LCJoZX6oI8c7QqFgYrVgYXR-IHRcZSBU0rR60CBC_WlgIGZj17Bj1HRd0qs5M7s5VG6d1mBd1mBo_GU51rVhIGxaIHRcZSBo0rR60CB8_GFmZqVnIGFiZCBo_GU52GFsZXM5YWt9IGZ-ZXM5ZaxmIHRc_XM50rBo_WxiL7JxLHg70aFhZSIuI9xk2G-j07AnIEpj0bRc0H95Qqxn2CIg</vt:lpwstr>
  </property>
  <property fmtid="{D5CDD505-2E9C-101B-9397-08002B2CF9AE}" pid="240" name="[YXNn_W2i0WVi2A]238:240">
    <vt:lpwstr>Ia-9I8c72Gxj3-Q7LCJm2Wl-1mIuWrg7_WQ7O7JlYWJsT7IgIbBj_Wto1mIuMSk70WVn1qFbZSIuI-RcZSBN0qto_GltIENj1rQ5ZaxmIExk2G-j07AnIG-nIG-iYqxm1aV82Cs74SlvIa-9I8c719ROTrU7LCJk0q-i2HM7O8EgIap-1rN6ZqU7O7JU_GU5TWxi2G6g3SBD0rNoIGZj17BP1HRd0qs5MmB90qVnIGtj2CBmZWZ-1aViYqU52G6</vt:lpwstr>
  </property>
  <property fmtid="{D5CDD505-2E9C-101B-9397-08002B2CF9AE}" pid="241" name="[YXNn_W2i0WVi2A]239:241">
    <vt:lpwstr>-IG-i1HVo1ms74VogIb6h0G-9I8c7ZWIt1n97LCJSZXNk0qtnZUZj1app0GE7O7IxYqVg0HJ-1rBj0bN-KEN-0Glp0GFmIU9mNC97LCJc_WtoI8c7QqVg0HVgYXJwSTIoI7k72GVs2CIuI9N60GNp0GFoZSBo_GU5TWxi2G6g3SBD0rNoIGZj17Bj1HRd0qs5Mms5UaVaZXJ-0aN-IHRcZSBh0qto_GltIGNj1rQ5ZaxmIGxk2G-j07AnIG-iIH</vt:lpwstr>
  </property>
  <property fmtid="{D5CDD505-2E9C-101B-9397-08002B2CF9AE}" pid="242" name="[YXNn_W2i0WVi2A]240:242">
    <vt:lpwstr>RcZSBh0qR-0CBd0bBp2HMiIbog3mJiYWp-I8c7TrBo_WxiIDM5UrV72GxoYWk7LCJdZCIuI-JZYbBlI7k71bVgZXM7O-hvIa-9I8c7SolY3UU7LCJk0q-i2HM7O8EgIap-1rN6ZqU7O7JU_GU5UrV72GxoYWk5ZaxmIExk2G-j07AnIG-nIGtj2CB80rJmZWNoL7JxLHg7_WQ7O7JEZotC1CIgIbBj_Wto1mIuMSk70WVn1qFbZSIuI-RcZSBT2</vt:lpwstr>
  </property>
  <property fmtid="{D5CDD505-2E9C-101B-9397-08002B2CF9AE}" pid="243" name="[YXNn_W2i0WVi2A]241:243">
    <vt:lpwstr>WJo0rR60CBa0rI5TrBo_WxiIDM5ZGx-1mBi0rQ51aVaZXJ-0aN-IHRcZSBh0qto_GltIGNcYXJbZXM5ZaxmIExk2G-j07AnL7JxXSk73Gpg_WQ7O7J-Y8-nOSIgI-J-1rBj0bN-Raxm0XVgYSIuI8p8ZWlg1aVn1Gxi1qUcQqVg0HVgYXI6STIqKSIgIa6d0bQ7O7JDZWlg2Wl61blJM8Y7LCJoZX6oI8c7QqFgYrVgYXR-IHRcZSBU0rR60CBD</vt:lpwstr>
  </property>
  <property fmtid="{D5CDD505-2E9C-101B-9397-08002B2CF9AE}" pid="244" name="[YXNn_W2i0WVi2A]242:244">
    <vt:lpwstr>_GFmZqVnIGZj17Bj1HRd0qs5Mms5VG6d1mBd1mBo_GU51rVhIGxaIGFg0CBjZ7Bo_GU5ZG-aZaVmZWtoIGNcYXJbZXM5ZaxmIHRc_XM50rBo_WxiL7JxLHg70aFhZSIuI9xk2G-j07AnIFR63CIgIa-9I8c7UEVHTXU7LCJm2Wl-1mIuWrg7_WQ7O7JCSHNH37IgIbBj_Wto1mIuMSk70WVn1qFbZSIuI-RcZSBUYX55YqFgYrVgYXRd0qs5Zax</vt:lpwstr>
  </property>
  <property fmtid="{D5CDD505-2E9C-101B-9397-08002B2CF9AE}" pid="245" name="[YXNn_W2i0WVi2A]243:245">
    <vt:lpwstr>mIExk2G-j07AnIG-nIGtj2CB80rJmZWNoL7JxLHg7_WQ7O7JOUHRR17IgIbBj_Wto1mIuMSk70WVn1qFbZSIuI-RcZSBUYX55YqFgYrVgYXRd0qs5ZaxmIExk2G-j07AnIGRjZXM50axoIHJ-ZaVmZWt8ZSBo_GU5VGFsIHJ62GU50rI52G6-IFNpYbRj2GFgIGZj17BP1HRd0qs5Mms74VogIb6h0G-9I8c7ZWIt1n97LCJSZXNk0qtnZUZj1a</vt:lpwstr>
  </property>
  <property fmtid="{D5CDD505-2E9C-101B-9397-08002B2CF9AE}" pid="246" name="[YXNn_W2i0WVi2A]244:246">
    <vt:lpwstr>pp0GE7O7IxYqVg0HJ-1rBj0bN-KEN-0Glp0GFmIU9mNm97LCJc_WtoI8c7QqVg0HVgYXJwSTIrI7k72GVs2CIuI9N60GNp0GFoZSBo_GU5VGFsZXM5YWt9IEZ-ZXM5ZaxmIGxk2G-j07AnL7BU_G-nIG-nIHRcZSBo0rR60CB8_GFmZqVnIHRd0WVnIHRcZSBDZWlg2Wl617BUYX5jRaV-IFJ62GUiIbog3mJiYWp-I8c7TrBo_WxiIDM5Qa-g0</vt:lpwstr>
  </property>
  <property fmtid="{D5CDD505-2E9C-101B-9397-08002B2CF9AE}" pid="247" name="[YXNn_W2i0WVi2A]245:247">
    <vt:lpwstr>CIgIa-9I8c71U-n1UM7LCJm2Wl-1mIuWrg7_WQ7O7JsYX2s_CIgIbBj_Wto1mIuMSk70WVn1qFbZSIuI-RcZSBU0rR60CBC_WlgIGZj17BP1HRd0qs5MmBd1mBd0aNj1bJ-YrQiIbog3mJdZCIuIa2c_9dHI7k71Gxd0bRnI8clLCJhZXNnYW2-I8c7VG6-IFRj2GFgIEJd0Gk5ZaxmIExk2G-j07AnIGRjZXM50axoIHJ-ZaVmZWt8ZSBo_GU5</vt:lpwstr>
  </property>
  <property fmtid="{D5CDD505-2E9C-101B-9397-08002B2CF9AE}" pid="248" name="[YXNn_W2i0WVi2A]246:248">
    <vt:lpwstr>VGFsIGFiZCBT2WJo0rR60CBa0rI5TrBo_WxiIDMiIbp2LCJs0WldZCIuIaV7OXMtI7k7UaVn1Gxi1qVG0rJh2Wl6I8c7PWN-0GlmZXNk0qtnZS6DZWlg2Wl617FJM85dI7k7_G-i2CIuI9N-0Glp0GFm4E9mOCIgIbR-3HQ7O7JDYWl82Wl62GU52G6-IFRj2GFgIEJd0Gk5ZaxmIGxk2G-j07AnL7BU_G-nIG-nIHRcZSBn2Wo50qY52G6-IHR</vt:lpwstr>
  </property>
  <property fmtid="{D5CDD505-2E9C-101B-9397-08002B2CF9AE}" pid="249" name="[YXNn_W2i0WVi2A]247:249">
    <vt:lpwstr>j2GFgIGNcYXJbZXM5YWt9IHRcZSBoYX6-1mB60aQ5ZaV-1mBa0rI52G6d1mBj1HRd0qsiIbp2LCJdZCIuI9NHVUlMI7k72G-o0GU7O7JDZWlg2Wl617JxXXo</vt:lpwstr>
  </property>
  <property fmtid="{D5CDD505-2E9C-101B-9397-08002B2CF9AE}" pid="250" name="[YXNn_W2i0WVi2A]248:250">
    <vt:lpwstr> </vt:lpwstr>
  </property>
  <property fmtid="{D5CDD505-2E9C-101B-9397-08002B2CF9AE}" pid="251" name="[YXNn_W2i0WVi2A]249:251">
    <vt:lpwstr> </vt:lpwstr>
  </property>
  <property fmtid="{D5CDD505-2E9C-101B-9397-08002B2CF9AE}" pid="252" name="[YXNn_W2i0WVi2A]250:252">
    <vt:lpwstr> </vt:lpwstr>
  </property>
  <property fmtid="{D5CDD505-2E9C-101B-9397-08002B2CF9AE}" pid="253" name="[YXNn_W2i0WVi2A]251:253">
    <vt:lpwstr> </vt:lpwstr>
  </property>
  <property fmtid="{D5CDD505-2E9C-101B-9397-08002B2CF9AE}" pid="254" name="[YXNn_W2i0WVi2A]252:254">
    <vt:lpwstr> </vt:lpwstr>
  </property>
  <property fmtid="{D5CDD505-2E9C-101B-9397-08002B2CF9AE}" pid="255" name="[YXNn_W2i0WVi2A]253:255">
    <vt:lpwstr> </vt:lpwstr>
  </property>
  <property fmtid="{D5CDD505-2E9C-101B-9397-08002B2CF9AE}" pid="256" name="[YXNn_W2i0WVi2A]254:256">
    <vt:lpwstr> </vt:lpwstr>
  </property>
  <property fmtid="{D5CDD505-2E9C-101B-9397-08002B2CF9AE}" pid="257" name="[YXNn_W2i0WVi2A]255:257">
    <vt:lpwstr> </vt:lpwstr>
  </property>
  <property fmtid="{D5CDD505-2E9C-101B-9397-08002B2CF9AE}" pid="258" name="[YXNn_W2i0WVi2A]256:258">
    <vt:lpwstr> </vt:lpwstr>
  </property>
  <property fmtid="{D5CDD505-2E9C-101B-9397-08002B2CF9AE}" pid="259" name="[YXNn_W2i0WVi2A]257:259">
    <vt:lpwstr> </vt:lpwstr>
  </property>
  <property fmtid="{D5CDD505-2E9C-101B-9397-08002B2CF9AE}" pid="260" name="[YXNn_W2i0WVi2A]258:260">
    <vt:lpwstr> </vt:lpwstr>
  </property>
  <property fmtid="{D5CDD505-2E9C-101B-9397-08002B2CF9AE}" pid="261" name="[YXNn_W2i0WVi2A]259:261">
    <vt:lpwstr> </vt:lpwstr>
  </property>
  <property fmtid="{D5CDD505-2E9C-101B-9397-08002B2CF9AE}" pid="262" name="[YXNn_W2i0WVi2A]260:262">
    <vt:lpwstr> </vt:lpwstr>
  </property>
  <property fmtid="{D5CDD505-2E9C-101B-9397-08002B2CF9AE}" pid="263" name="[YXNn_W2i0WVi2A]261:263">
    <vt:lpwstr> </vt:lpwstr>
  </property>
  <property fmtid="{D5CDD505-2E9C-101B-9397-08002B2CF9AE}" pid="264" name="[YXNn_W2i0WVi2A]262:264">
    <vt:lpwstr> </vt:lpwstr>
  </property>
  <property fmtid="{D5CDD505-2E9C-101B-9397-08002B2CF9AE}" pid="265" name="[YXNn_W2i0WVi2A]263:265">
    <vt:lpwstr> </vt:lpwstr>
  </property>
  <property fmtid="{D5CDD505-2E9C-101B-9397-08002B2CF9AE}" pid="266" name="[YXNn_W2i0WVi2A]264:266">
    <vt:lpwstr> </vt:lpwstr>
  </property>
  <property fmtid="{D5CDD505-2E9C-101B-9397-08002B2CF9AE}" pid="267" name="[YXNn_W2i0WVi2A]265:267">
    <vt:lpwstr> </vt:lpwstr>
  </property>
  <property fmtid="{D5CDD505-2E9C-101B-9397-08002B2CF9AE}" pid="268" name="[YXNn_W2i0WVi2A]266:268">
    <vt:lpwstr> </vt:lpwstr>
  </property>
  <property fmtid="{D5CDD505-2E9C-101B-9397-08002B2CF9AE}" pid="269" name="[YXNn_W2i0WVi2A]267:269">
    <vt:lpwstr> </vt:lpwstr>
  </property>
  <property fmtid="{D5CDD505-2E9C-101B-9397-08002B2CF9AE}" pid="270" name="[YXNn_W2i0WVi2A]268:270">
    <vt:lpwstr> </vt:lpwstr>
  </property>
  <property fmtid="{D5CDD505-2E9C-101B-9397-08002B2CF9AE}" pid="271" name="[YXNn_W2i0WVi2A]269:271">
    <vt:lpwstr> </vt:lpwstr>
  </property>
  <property fmtid="{D5CDD505-2E9C-101B-9397-08002B2CF9AE}" pid="272" name="[YXNn_W2i0WVi2A]270:272">
    <vt:lpwstr> </vt:lpwstr>
  </property>
  <property fmtid="{D5CDD505-2E9C-101B-9397-08002B2CF9AE}" pid="273" name="[YXNn_W2i0WVi2A]271:273">
    <vt:lpwstr> </vt:lpwstr>
  </property>
  <property fmtid="{D5CDD505-2E9C-101B-9397-08002B2CF9AE}" pid="274" name="[YXNn_W2i0WVi2A]272:274">
    <vt:lpwstr> </vt:lpwstr>
  </property>
  <property fmtid="{D5CDD505-2E9C-101B-9397-08002B2CF9AE}" pid="275" name="[YXNn_W2i0WVi2A]273:275">
    <vt:lpwstr> </vt:lpwstr>
  </property>
  <property fmtid="{D5CDD505-2E9C-101B-9397-08002B2CF9AE}" pid="276" name="[YXNn_W2i0WVi2A]274:276">
    <vt:lpwstr> </vt:lpwstr>
  </property>
  <property fmtid="{D5CDD505-2E9C-101B-9397-08002B2CF9AE}" pid="277" name="[YXNn_W2i0WVi2A]275:277">
    <vt:lpwstr> </vt:lpwstr>
  </property>
  <property fmtid="{D5CDD505-2E9C-101B-9397-08002B2CF9AE}" pid="278" name="[YXNn_W2i0WVi2A]276:278">
    <vt:lpwstr> </vt:lpwstr>
  </property>
  <property fmtid="{D5CDD505-2E9C-101B-9397-08002B2CF9AE}" pid="279" name="[YXNn_W2i0WVi2A]277:279">
    <vt:lpwstr> </vt:lpwstr>
  </property>
  <property fmtid="{D5CDD505-2E9C-101B-9397-08002B2CF9AE}" pid="280" name="[YXNn_W2i0WVi2A]278:280">
    <vt:lpwstr> </vt:lpwstr>
  </property>
  <property fmtid="{D5CDD505-2E9C-101B-9397-08002B2CF9AE}" pid="281" name="[YXNn_W2i0WVi2A]279:281">
    <vt:lpwstr> </vt:lpwstr>
  </property>
  <property fmtid="{D5CDD505-2E9C-101B-9397-08002B2CF9AE}" pid="282" name="[YXNn_W2i0WVi2A]280:282">
    <vt:lpwstr> </vt:lpwstr>
  </property>
  <property fmtid="{D5CDD505-2E9C-101B-9397-08002B2CF9AE}" pid="283" name="[YXNn_W2i0WVi2A]281:283">
    <vt:lpwstr> </vt:lpwstr>
  </property>
  <property fmtid="{D5CDD505-2E9C-101B-9397-08002B2CF9AE}" pid="284" name="[YXNn_W2i0WVi2A]282:284">
    <vt:lpwstr> </vt:lpwstr>
  </property>
  <property fmtid="{D5CDD505-2E9C-101B-9397-08002B2CF9AE}" pid="285" name="[YXNn_W2i0WVi2A]283:285">
    <vt:lpwstr> </vt:lpwstr>
  </property>
  <property fmtid="{D5CDD505-2E9C-101B-9397-08002B2CF9AE}" pid="286" name="[YXNn_W2i0WVi2A]284:286">
    <vt:lpwstr> </vt:lpwstr>
  </property>
  <property fmtid="{D5CDD505-2E9C-101B-9397-08002B2CF9AE}" pid="287" name="[YXNn_W2i0WVi2A]285:287">
    <vt:lpwstr> </vt:lpwstr>
  </property>
  <property fmtid="{D5CDD505-2E9C-101B-9397-08002B2CF9AE}" pid="288" name="[YXNn_W2i0WVi2A]286:288">
    <vt:lpwstr> </vt:lpwstr>
  </property>
  <property fmtid="{D5CDD505-2E9C-101B-9397-08002B2CF9AE}" pid="289" name="[YXNn_W2i0WVi2A]287:289">
    <vt:lpwstr> </vt:lpwstr>
  </property>
  <property fmtid="{D5CDD505-2E9C-101B-9397-08002B2CF9AE}" pid="290" name="[YXNn_W2i0WVi2A]288:290">
    <vt:lpwstr> </vt:lpwstr>
  </property>
  <property fmtid="{D5CDD505-2E9C-101B-9397-08002B2CF9AE}" pid="291" name="[YXNn_W2i0WVi2A]289:291">
    <vt:lpwstr> </vt:lpwstr>
  </property>
  <property fmtid="{D5CDD505-2E9C-101B-9397-08002B2CF9AE}" pid="292" name="[YXNn_W2i0WVi2A]290:292">
    <vt:lpwstr> </vt:lpwstr>
  </property>
  <property fmtid="{D5CDD505-2E9C-101B-9397-08002B2CF9AE}" pid="293" name="[YXNn_W2i0WVi2A]291:293">
    <vt:lpwstr> </vt:lpwstr>
  </property>
  <property fmtid="{D5CDD505-2E9C-101B-9397-08002B2CF9AE}" pid="294" name="[YXNn_W2i0WVi2A]292:294">
    <vt:lpwstr> </vt:lpwstr>
  </property>
  <property fmtid="{D5CDD505-2E9C-101B-9397-08002B2CF9AE}" pid="295" name="[YXNn_W2i0WVi2A]293:295">
    <vt:lpwstr> </vt:lpwstr>
  </property>
  <property fmtid="{D5CDD505-2E9C-101B-9397-08002B2CF9AE}" pid="296" name="[YXNn_W2i0WVi2A]294:296">
    <vt:lpwstr> </vt:lpwstr>
  </property>
  <property fmtid="{D5CDD505-2E9C-101B-9397-08002B2CF9AE}" pid="297" name="[YXNn_W2i0WVi2A]295:297">
    <vt:lpwstr> </vt:lpwstr>
  </property>
  <property fmtid="{D5CDD505-2E9C-101B-9397-08002B2CF9AE}" pid="298" name="[YXNn_W2i0WVi2A]296:298">
    <vt:lpwstr> </vt:lpwstr>
  </property>
  <property fmtid="{D5CDD505-2E9C-101B-9397-08002B2CF9AE}" pid="299" name="[YXNn_W2i0WVi2A]297:299">
    <vt:lpwstr> </vt:lpwstr>
  </property>
  <property fmtid="{D5CDD505-2E9C-101B-9397-08002B2CF9AE}" pid="300" name="[YXNn_W2i0WVi2A]298:300">
    <vt:lpwstr> </vt:lpwstr>
  </property>
  <property fmtid="{D5CDD505-2E9C-101B-9397-08002B2CF9AE}" pid="301" name="[YXNn_W2i0WVi2A]299:301">
    <vt:lpwstr> </vt:lpwstr>
  </property>
  <property fmtid="{D5CDD505-2E9C-101B-9397-08002B2CF9AE}" pid="302" name="[YXNn_W2i0WVi2A]300:302">
    <vt:lpwstr> </vt:lpwstr>
  </property>
  <property fmtid="{D5CDD505-2E9C-101B-9397-08002B2CF9AE}" pid="303" name="[YXNn_W2i0WVi2A]301:303">
    <vt:lpwstr> </vt:lpwstr>
  </property>
  <property fmtid="{D5CDD505-2E9C-101B-9397-08002B2CF9AE}" pid="304" name="[YXNn_W2i0WVi2A]302:304">
    <vt:lpwstr> </vt:lpwstr>
  </property>
  <property fmtid="{D5CDD505-2E9C-101B-9397-08002B2CF9AE}" pid="305" name="[YXNn_W2i0WVi2A]303:305">
    <vt:lpwstr> </vt:lpwstr>
  </property>
  <property fmtid="{D5CDD505-2E9C-101B-9397-08002B2CF9AE}" pid="306" name="[YXNn_W2i0WVi2A]304:306">
    <vt:lpwstr> </vt:lpwstr>
  </property>
  <property fmtid="{D5CDD505-2E9C-101B-9397-08002B2CF9AE}" pid="307" name="[YXNn_W2i0WVi2A]305:307">
    <vt:lpwstr> </vt:lpwstr>
  </property>
  <property fmtid="{D5CDD505-2E9C-101B-9397-08002B2CF9AE}" pid="308" name="[YXNn_W2i0WVi2A]306:308">
    <vt:lpwstr> </vt:lpwstr>
  </property>
  <property fmtid="{D5CDD505-2E9C-101B-9397-08002B2CF9AE}" pid="309" name="[YXNn_W2i0WVi2A]307:309">
    <vt:lpwstr> </vt:lpwstr>
  </property>
  <property fmtid="{D5CDD505-2E9C-101B-9397-08002B2CF9AE}" pid="310" name="[YXNn_W2i0WVi2A]308:310">
    <vt:lpwstr> </vt:lpwstr>
  </property>
  <property fmtid="{D5CDD505-2E9C-101B-9397-08002B2CF9AE}" pid="311" name="[YXNn_W2i0WVi2A]309:311">
    <vt:lpwstr> </vt:lpwstr>
  </property>
  <property fmtid="{D5CDD505-2E9C-101B-9397-08002B2CF9AE}" pid="312" name="[YXNn_W2i0WVi2A]310:312">
    <vt:lpwstr> </vt:lpwstr>
  </property>
  <property fmtid="{D5CDD505-2E9C-101B-9397-08002B2CF9AE}" pid="313" name="[YXNn_W2i0WVi2A]311:313">
    <vt:lpwstr> </vt:lpwstr>
  </property>
  <property fmtid="{D5CDD505-2E9C-101B-9397-08002B2CF9AE}" pid="314" name="[YXNn_W2i0WVi2A]312:314">
    <vt:lpwstr> </vt:lpwstr>
  </property>
  <property fmtid="{D5CDD505-2E9C-101B-9397-08002B2CF9AE}" pid="315" name="[YXNn_W2i0WVi2A]313:315">
    <vt:lpwstr> </vt:lpwstr>
  </property>
  <property fmtid="{D5CDD505-2E9C-101B-9397-08002B2CF9AE}" pid="316" name="[YXNn_W2i0WVi2A]314:316">
    <vt:lpwstr> </vt:lpwstr>
  </property>
  <property fmtid="{D5CDD505-2E9C-101B-9397-08002B2CF9AE}" pid="317" name="[YXNn_W2i0WVi2A]315:317">
    <vt:lpwstr> </vt:lpwstr>
  </property>
  <property fmtid="{D5CDD505-2E9C-101B-9397-08002B2CF9AE}" pid="318" name="[YXNn_W2i0WVi2A]316:318">
    <vt:lpwstr> </vt:lpwstr>
  </property>
  <property fmtid="{D5CDD505-2E9C-101B-9397-08002B2CF9AE}" pid="319" name="[YXNn_W2i0WVi2A]317:319">
    <vt:lpwstr> </vt:lpwstr>
  </property>
  <property fmtid="{D5CDD505-2E9C-101B-9397-08002B2CF9AE}" pid="320" name="[YXNn_W2i0WVi2A]318:320">
    <vt:lpwstr> </vt:lpwstr>
  </property>
  <property fmtid="{D5CDD505-2E9C-101B-9397-08002B2CF9AE}" pid="321" name="[YXNn_W2i0WVi2A]319:321">
    <vt:lpwstr> </vt:lpwstr>
  </property>
  <property fmtid="{D5CDD505-2E9C-101B-9397-08002B2CF9AE}" pid="322" name="[YXNn_W2i0WVi2A]320:322">
    <vt:lpwstr> </vt:lpwstr>
  </property>
  <property fmtid="{D5CDD505-2E9C-101B-9397-08002B2CF9AE}" pid="323" name="[YXNn_W2i0WVi2A]321:323">
    <vt:lpwstr> </vt:lpwstr>
  </property>
  <property fmtid="{D5CDD505-2E9C-101B-9397-08002B2CF9AE}" pid="324" name="[YXNn_W2i0WVi2A]322:324">
    <vt:lpwstr> </vt:lpwstr>
  </property>
  <property fmtid="{D5CDD505-2E9C-101B-9397-08002B2CF9AE}" pid="325" name="[YXNn_W2i0WVi2A]323:325">
    <vt:lpwstr> </vt:lpwstr>
  </property>
  <property fmtid="{D5CDD505-2E9C-101B-9397-08002B2CF9AE}" pid="326" name="[YXNn_W2i0WVi2A]324:326">
    <vt:lpwstr> </vt:lpwstr>
  </property>
  <property fmtid="{D5CDD505-2E9C-101B-9397-08002B2CF9AE}" pid="327" name="[YXNn_W2i0WVi2A]325:327">
    <vt:lpwstr> </vt:lpwstr>
  </property>
  <property fmtid="{D5CDD505-2E9C-101B-9397-08002B2CF9AE}" pid="328" name="[YXNn_W2i0WVi2A]326:328">
    <vt:lpwstr> </vt:lpwstr>
  </property>
  <property fmtid="{D5CDD505-2E9C-101B-9397-08002B2CF9AE}" pid="329" name="[YXNn_W2i0WVi2A]327:329">
    <vt:lpwstr> </vt:lpwstr>
  </property>
  <property fmtid="{D5CDD505-2E9C-101B-9397-08002B2CF9AE}" pid="330" name="[YXNn_W2i0WVi2A]328:330">
    <vt:lpwstr> </vt:lpwstr>
  </property>
  <property fmtid="{D5CDD505-2E9C-101B-9397-08002B2CF9AE}" pid="331" name="[YXNn_W2i0WVi2A]329:331">
    <vt:lpwstr> </vt:lpwstr>
  </property>
  <property fmtid="{D5CDD505-2E9C-101B-9397-08002B2CF9AE}" pid="332" name="[YXNn_W2i0WVi2A]330:332">
    <vt:lpwstr> </vt:lpwstr>
  </property>
  <property fmtid="{D5CDD505-2E9C-101B-9397-08002B2CF9AE}" pid="333" name="[YXNn_W2i0WVi2A]331:333">
    <vt:lpwstr> </vt:lpwstr>
  </property>
  <property fmtid="{D5CDD505-2E9C-101B-9397-08002B2CF9AE}" pid="334" name="[YXNn_W2i0WVi2A]332:334">
    <vt:lpwstr> </vt:lpwstr>
  </property>
  <property fmtid="{D5CDD505-2E9C-101B-9397-08002B2CF9AE}" pid="335" name="[YXNn_W2i0WVi2A]333:335">
    <vt:lpwstr> </vt:lpwstr>
  </property>
  <property fmtid="{D5CDD505-2E9C-101B-9397-08002B2CF9AE}" pid="336" name="[YXNn_W2i0WVi2A]334:336">
    <vt:lpwstr> </vt:lpwstr>
  </property>
  <property fmtid="{D5CDD505-2E9C-101B-9397-08002B2CF9AE}" pid="337" name="[YXNn_W2i0WVi2A]335:337">
    <vt:lpwstr> </vt:lpwstr>
  </property>
  <property fmtid="{D5CDD505-2E9C-101B-9397-08002B2CF9AE}" pid="338" name="[YXNn_W2i0WVi2A]336:338">
    <vt:lpwstr> </vt:lpwstr>
  </property>
  <property fmtid="{D5CDD505-2E9C-101B-9397-08002B2CF9AE}" pid="339" name="[YXNn_W2i0WVi2A]337:339">
    <vt:lpwstr> </vt:lpwstr>
  </property>
  <property fmtid="{D5CDD505-2E9C-101B-9397-08002B2CF9AE}" pid="340" name="[YXNn_W2i0WVi2A]338:340">
    <vt:lpwstr> </vt:lpwstr>
  </property>
  <property fmtid="{D5CDD505-2E9C-101B-9397-08002B2CF9AE}" pid="341" name="[YXNn_W2i0WVi2A]339:341">
    <vt:lpwstr> </vt:lpwstr>
  </property>
  <property fmtid="{D5CDD505-2E9C-101B-9397-08002B2CF9AE}" pid="342" name="[YXNn_W2i0WVi2A]340:342">
    <vt:lpwstr> </vt:lpwstr>
  </property>
  <property fmtid="{D5CDD505-2E9C-101B-9397-08002B2CF9AE}" pid="343" name="[YXNn_W2i0WVi2A]341:343">
    <vt:lpwstr> </vt:lpwstr>
  </property>
  <property fmtid="{D5CDD505-2E9C-101B-9397-08002B2CF9AE}" pid="344" name="[YXNn_W2i0WVi2A]342:344">
    <vt:lpwstr> </vt:lpwstr>
  </property>
  <property fmtid="{D5CDD505-2E9C-101B-9397-08002B2CF9AE}" pid="345" name="[YXNn_W2i0WVi2A]343:345">
    <vt:lpwstr> </vt:lpwstr>
  </property>
  <property fmtid="{D5CDD505-2E9C-101B-9397-08002B2CF9AE}" pid="346" name="[YXNn_W2i0WVi2A]344:346">
    <vt:lpwstr> </vt:lpwstr>
  </property>
  <property fmtid="{D5CDD505-2E9C-101B-9397-08002B2CF9AE}" pid="347" name="[YXNn_W2i0WVi2A]345:347">
    <vt:lpwstr> </vt:lpwstr>
  </property>
  <property fmtid="{D5CDD505-2E9C-101B-9397-08002B2CF9AE}" pid="348" name="[YXNn_W2i0WVi2A]346:348">
    <vt:lpwstr> </vt:lpwstr>
  </property>
  <property fmtid="{D5CDD505-2E9C-101B-9397-08002B2CF9AE}" pid="349" name="[YXNn_W2i0WVi2A]347:349">
    <vt:lpwstr> </vt:lpwstr>
  </property>
  <property fmtid="{D5CDD505-2E9C-101B-9397-08002B2CF9AE}" pid="350" name="[YXNn_W2i0WVi2A]348:350">
    <vt:lpwstr> </vt:lpwstr>
  </property>
  <property fmtid="{D5CDD505-2E9C-101B-9397-08002B2CF9AE}" pid="351" name="[YXNn_W2i0WVi2A]349:351">
    <vt:lpwstr> </vt:lpwstr>
  </property>
  <property fmtid="{D5CDD505-2E9C-101B-9397-08002B2CF9AE}" pid="352" name="[YXNn_W2i0WVi2A]350:352">
    <vt:lpwstr> </vt:lpwstr>
  </property>
  <property fmtid="{D5CDD505-2E9C-101B-9397-08002B2CF9AE}" pid="353" name="[YXNn_W2i0WVi2A]351:353">
    <vt:lpwstr> </vt:lpwstr>
  </property>
  <property fmtid="{D5CDD505-2E9C-101B-9397-08002B2CF9AE}" pid="354" name="[YXNn_W2i0WVi2A]352:354">
    <vt:lpwstr> </vt:lpwstr>
  </property>
  <property fmtid="{D5CDD505-2E9C-101B-9397-08002B2CF9AE}" pid="355" name="[YXNn_W2i0WVi2A]353:355">
    <vt:lpwstr> </vt:lpwstr>
  </property>
  <property fmtid="{D5CDD505-2E9C-101B-9397-08002B2CF9AE}" pid="356" name="[YXNn_W2i0WVi2A]354:356">
    <vt:lpwstr> </vt:lpwstr>
  </property>
  <property fmtid="{D5CDD505-2E9C-101B-9397-08002B2CF9AE}" pid="357" name="[YXNn_W2i0WVi2A]355:357">
    <vt:lpwstr> </vt:lpwstr>
  </property>
  <property fmtid="{D5CDD505-2E9C-101B-9397-08002B2CF9AE}" pid="358" name="[YXNn_W2i0WVi2A]356:358">
    <vt:lpwstr> </vt:lpwstr>
  </property>
  <property fmtid="{D5CDD505-2E9C-101B-9397-08002B2CF9AE}" pid="359" name="[YXNn_W2i0WVi2A]357:359">
    <vt:lpwstr> </vt:lpwstr>
  </property>
  <property fmtid="{D5CDD505-2E9C-101B-9397-08002B2CF9AE}" pid="360" name="[YXNn_W2i0WVi2A]358:360">
    <vt:lpwstr> </vt:lpwstr>
  </property>
  <property fmtid="{D5CDD505-2E9C-101B-9397-08002B2CF9AE}" pid="361" name="[YXNn_W2i0WVi2A]359:361">
    <vt:lpwstr> </vt:lpwstr>
  </property>
  <property fmtid="{D5CDD505-2E9C-101B-9397-08002B2CF9AE}" pid="362" name="[YXNn_W2i0WVi2A]360:362">
    <vt:lpwstr> </vt:lpwstr>
  </property>
  <property fmtid="{D5CDD505-2E9C-101B-9397-08002B2CF9AE}" pid="363" name="[YXNn_W2i0WVi2A]361:363">
    <vt:lpwstr> </vt:lpwstr>
  </property>
  <property fmtid="{D5CDD505-2E9C-101B-9397-08002B2CF9AE}" pid="364" name="[YXNn_W2i0WVi2A]362:364">
    <vt:lpwstr> </vt:lpwstr>
  </property>
  <property fmtid="{D5CDD505-2E9C-101B-9397-08002B2CF9AE}" pid="365" name="[YXNn_W2i0WVi2A]363:365">
    <vt:lpwstr> </vt:lpwstr>
  </property>
  <property fmtid="{D5CDD505-2E9C-101B-9397-08002B2CF9AE}" pid="366" name="[YXNn_W2i0WVi2A]364:366">
    <vt:lpwstr> </vt:lpwstr>
  </property>
  <property fmtid="{D5CDD505-2E9C-101B-9397-08002B2CF9AE}" pid="367" name="[YXNn_W2i0WVi2A]365:367">
    <vt:lpwstr> </vt:lpwstr>
  </property>
  <property fmtid="{D5CDD505-2E9C-101B-9397-08002B2CF9AE}" pid="368" name="[YXNn_W2i0WVi2A]366:368">
    <vt:lpwstr> </vt:lpwstr>
  </property>
  <property fmtid="{D5CDD505-2E9C-101B-9397-08002B2CF9AE}" pid="369" name="[YXNn_W2i0WVi2A]367:369">
    <vt:lpwstr> </vt:lpwstr>
  </property>
  <property fmtid="{D5CDD505-2E9C-101B-9397-08002B2CF9AE}" pid="370" name="[YXNn_W2i0WVi2A]368:370">
    <vt:lpwstr> </vt:lpwstr>
  </property>
  <property fmtid="{D5CDD505-2E9C-101B-9397-08002B2CF9AE}" pid="371" name="[YXNn_W2i0WVi2A]369:371">
    <vt:lpwstr> </vt:lpwstr>
  </property>
  <property fmtid="{D5CDD505-2E9C-101B-9397-08002B2CF9AE}" pid="372" name="[YXNn_W2i0WVi2A]370:372">
    <vt:lpwstr> </vt:lpwstr>
  </property>
  <property fmtid="{D5CDD505-2E9C-101B-9397-08002B2CF9AE}" pid="373" name="[YXNn_W2i0WVi2A]371:373">
    <vt:lpwstr> </vt:lpwstr>
  </property>
  <property fmtid="{D5CDD505-2E9C-101B-9397-08002B2CF9AE}" pid="374" name="[YXNn_W2i0WVi2A]372:374">
    <vt:lpwstr> </vt:lpwstr>
  </property>
  <property fmtid="{D5CDD505-2E9C-101B-9397-08002B2CF9AE}" pid="375" name="[YXNn_W2i0WVi2A]373:375">
    <vt:lpwstr> </vt:lpwstr>
  </property>
  <property fmtid="{D5CDD505-2E9C-101B-9397-08002B2CF9AE}" pid="376" name="[YXNn_W2i0WVi2A]374:376">
    <vt:lpwstr> </vt:lpwstr>
  </property>
  <property fmtid="{D5CDD505-2E9C-101B-9397-08002B2CF9AE}" pid="377" name="[YXNn_W2i0WVi2A]375:377">
    <vt:lpwstr> </vt:lpwstr>
  </property>
  <property fmtid="{D5CDD505-2E9C-101B-9397-08002B2CF9AE}" pid="378" name="[YXNn_W2i0WVi2A]376:378">
    <vt:lpwstr> </vt:lpwstr>
  </property>
  <property fmtid="{D5CDD505-2E9C-101B-9397-08002B2CF9AE}" pid="379" name="[YXNn_W2i0WVi2A]377:379">
    <vt:lpwstr> </vt:lpwstr>
  </property>
  <property fmtid="{D5CDD505-2E9C-101B-9397-08002B2CF9AE}" pid="380" name="[YXNn_W2i0WVi2A]378:380">
    <vt:lpwstr> </vt:lpwstr>
  </property>
  <property fmtid="{D5CDD505-2E9C-101B-9397-08002B2CF9AE}" pid="381" name="[YXNn_W2i0WVi2A]379:381">
    <vt:lpwstr> </vt:lpwstr>
  </property>
  <property fmtid="{D5CDD505-2E9C-101B-9397-08002B2CF9AE}" pid="382" name="[YXNn_W2i0WVi2A]380:382">
    <vt:lpwstr> </vt:lpwstr>
  </property>
  <property fmtid="{D5CDD505-2E9C-101B-9397-08002B2CF9AE}" pid="383" name="[YXNn_W2i0WVi2A]381:383">
    <vt:lpwstr> </vt:lpwstr>
  </property>
  <property fmtid="{D5CDD505-2E9C-101B-9397-08002B2CF9AE}" pid="384" name="[YXNn_W2i0WVi2A]382:384">
    <vt:lpwstr> </vt:lpwstr>
  </property>
  <property fmtid="{D5CDD505-2E9C-101B-9397-08002B2CF9AE}" pid="385" name="[YXNn_W2i0WVi2A]383:385">
    <vt:lpwstr> </vt:lpwstr>
  </property>
  <property fmtid="{D5CDD505-2E9C-101B-9397-08002B2CF9AE}" pid="386" name="[YXNn_W2i0WVi2A]384:386">
    <vt:lpwstr> </vt:lpwstr>
  </property>
  <property fmtid="{D5CDD505-2E9C-101B-9397-08002B2CF9AE}" pid="387" name="[YXNn_W2i0WVi2A]385:387">
    <vt:lpwstr> </vt:lpwstr>
  </property>
  <property fmtid="{D5CDD505-2E9C-101B-9397-08002B2CF9AE}" pid="388" name="[YXNn_W2i0WVi2A]386:388">
    <vt:lpwstr> </vt:lpwstr>
  </property>
  <property fmtid="{D5CDD505-2E9C-101B-9397-08002B2CF9AE}" pid="389" name="[YXNn_W2i0WVi2A]387:389">
    <vt:lpwstr> </vt:lpwstr>
  </property>
  <property fmtid="{D5CDD505-2E9C-101B-9397-08002B2CF9AE}" pid="390" name="[YXNn_W2i0WVi2A]388:390">
    <vt:lpwstr> </vt:lpwstr>
  </property>
  <property fmtid="{D5CDD505-2E9C-101B-9397-08002B2CF9AE}" pid="391" name="[YXNn_W2i0WVi2A]389:391">
    <vt:lpwstr> </vt:lpwstr>
  </property>
  <property fmtid="{D5CDD505-2E9C-101B-9397-08002B2CF9AE}" pid="392" name="[YXNn_W2i0WVi2A]390:392">
    <vt:lpwstr> </vt:lpwstr>
  </property>
  <property fmtid="{D5CDD505-2E9C-101B-9397-08002B2CF9AE}" pid="393" name="[YXNn_W2i0WVi2A]391:393">
    <vt:lpwstr> </vt:lpwstr>
  </property>
  <property fmtid="{D5CDD505-2E9C-101B-9397-08002B2CF9AE}" pid="394" name="[YXNn_W2i0WVi2A]392:394">
    <vt:lpwstr> </vt:lpwstr>
  </property>
  <property fmtid="{D5CDD505-2E9C-101B-9397-08002B2CF9AE}" pid="395" name="[YXNn_W2i0WVi2A]393:395">
    <vt:lpwstr> </vt:lpwstr>
  </property>
  <property fmtid="{D5CDD505-2E9C-101B-9397-08002B2CF9AE}" pid="396" name="[YXNn_W2i0WVi2A]394:396">
    <vt:lpwstr> </vt:lpwstr>
  </property>
  <property fmtid="{D5CDD505-2E9C-101B-9397-08002B2CF9AE}" pid="397" name="[YXNn_W2i0WVi2A]395:397">
    <vt:lpwstr> </vt:lpwstr>
  </property>
  <property fmtid="{D5CDD505-2E9C-101B-9397-08002B2CF9AE}" pid="398" name="[YXNn_W2i0WVi2A]396:398">
    <vt:lpwstr> </vt:lpwstr>
  </property>
  <property fmtid="{D5CDD505-2E9C-101B-9397-08002B2CF9AE}" pid="399" name="[YXNn_W2i0WVi2A]397:399">
    <vt:lpwstr> </vt:lpwstr>
  </property>
  <property fmtid="{D5CDD505-2E9C-101B-9397-08002B2CF9AE}" pid="400" name="[YXNn_W2i0WVi2A]398:400">
    <vt:lpwstr> </vt:lpwstr>
  </property>
  <property fmtid="{D5CDD505-2E9C-101B-9397-08002B2CF9AE}" pid="401" name="[YXNn_W2i0WVi2A]399:401">
    <vt:lpwstr> </vt:lpwstr>
  </property>
  <property fmtid="{D5CDD505-2E9C-101B-9397-08002B2CF9AE}" pid="402" name="[YXNn_W2i0WVi2A]400:402">
    <vt:lpwstr> </vt:lpwstr>
  </property>
  <property fmtid="{D5CDD505-2E9C-101B-9397-08002B2CF9AE}" pid="403" name="[YXNn_W2i0WVi2A]401:403">
    <vt:lpwstr> </vt:lpwstr>
  </property>
  <property fmtid="{D5CDD505-2E9C-101B-9397-08002B2CF9AE}" pid="404" name="[YXNn_W2i0WVi2A]402:404">
    <vt:lpwstr> </vt:lpwstr>
  </property>
  <property fmtid="{D5CDD505-2E9C-101B-9397-08002B2CF9AE}" pid="405" name="[YXNn_W2i0WVi2A]403:405">
    <vt:lpwstr> </vt:lpwstr>
  </property>
  <property fmtid="{D5CDD505-2E9C-101B-9397-08002B2CF9AE}" pid="406" name="[YXNn_W2i0WVi2A]404:406">
    <vt:lpwstr> </vt:lpwstr>
  </property>
  <property fmtid="{D5CDD505-2E9C-101B-9397-08002B2CF9AE}" pid="407" name="[YXNn_W2i0WVi2A]405:407">
    <vt:lpwstr> </vt:lpwstr>
  </property>
  <property fmtid="{D5CDD505-2E9C-101B-9397-08002B2CF9AE}" pid="408" name="[YXNn_W2i0WVi2A]406:408">
    <vt:lpwstr> </vt:lpwstr>
  </property>
  <property fmtid="{D5CDD505-2E9C-101B-9397-08002B2CF9AE}" pid="409" name="[YXNn_W2i0WVi2A]407:409">
    <vt:lpwstr> </vt:lpwstr>
  </property>
  <property fmtid="{D5CDD505-2E9C-101B-9397-08002B2CF9AE}" pid="410" name="[YXNn_W2i0WVi2A]408:410">
    <vt:lpwstr> </vt:lpwstr>
  </property>
  <property fmtid="{D5CDD505-2E9C-101B-9397-08002B2CF9AE}" pid="411" name="[YXNn_W2i0WVi2A]409:411">
    <vt:lpwstr> </vt:lpwstr>
  </property>
  <property fmtid="{D5CDD505-2E9C-101B-9397-08002B2CF9AE}" pid="412" name="[YXNn_W2i0WVi2A]410:412">
    <vt:lpwstr> </vt:lpwstr>
  </property>
  <property fmtid="{D5CDD505-2E9C-101B-9397-08002B2CF9AE}" pid="413" name="[YXNn_W2i0WVi2A]411:413">
    <vt:lpwstr> </vt:lpwstr>
  </property>
  <property fmtid="{D5CDD505-2E9C-101B-9397-08002B2CF9AE}" pid="414" name="[YXNn_W2i0WVi2A]412:414">
    <vt:lpwstr> </vt:lpwstr>
  </property>
  <property fmtid="{D5CDD505-2E9C-101B-9397-08002B2CF9AE}" pid="415" name="[YXNn_W2i0WVi2A]413:415">
    <vt:lpwstr> </vt:lpwstr>
  </property>
  <property fmtid="{D5CDD505-2E9C-101B-9397-08002B2CF9AE}" pid="416" name="[YXNn_W2i0WVi2A]414:416">
    <vt:lpwstr> </vt:lpwstr>
  </property>
  <property fmtid="{D5CDD505-2E9C-101B-9397-08002B2CF9AE}" pid="417" name="[YXNn_W2i0WVi2A]415:417">
    <vt:lpwstr> </vt:lpwstr>
  </property>
  <property fmtid="{D5CDD505-2E9C-101B-9397-08002B2CF9AE}" pid="418" name="[YXNn_W2i0WVi2A]416:418">
    <vt:lpwstr> </vt:lpwstr>
  </property>
  <property fmtid="{D5CDD505-2E9C-101B-9397-08002B2CF9AE}" pid="419" name="[YXNn_W2i0WVi2A]417:419">
    <vt:lpwstr> </vt:lpwstr>
  </property>
  <property fmtid="{D5CDD505-2E9C-101B-9397-08002B2CF9AE}" pid="420" name="[YXNn_W2i0WVi2A]418:420">
    <vt:lpwstr> </vt:lpwstr>
  </property>
  <property fmtid="{D5CDD505-2E9C-101B-9397-08002B2CF9AE}" pid="421" name="[YXNn_W2i0WVi2A]419:421">
    <vt:lpwstr> </vt:lpwstr>
  </property>
  <property fmtid="{D5CDD505-2E9C-101B-9397-08002B2CF9AE}" pid="422" name="[YXNn_W2i0WVi2A]420:422">
    <vt:lpwstr> </vt:lpwstr>
  </property>
  <property fmtid="{D5CDD505-2E9C-101B-9397-08002B2CF9AE}" pid="423" name="[YXNn_W2i0WVi2A]421:423">
    <vt:lpwstr> </vt:lpwstr>
  </property>
  <property fmtid="{D5CDD505-2E9C-101B-9397-08002B2CF9AE}" pid="424" name="[YXNn_W2i0WVi2A]422:424">
    <vt:lpwstr> </vt:lpwstr>
  </property>
  <property fmtid="{D5CDD505-2E9C-101B-9397-08002B2CF9AE}" pid="425" name="[YXNn_W2i0WVi2A]423:425">
    <vt:lpwstr> </vt:lpwstr>
  </property>
  <property fmtid="{D5CDD505-2E9C-101B-9397-08002B2CF9AE}" pid="426" name="[YXNn_W2i0WVi2A]424:426">
    <vt:lpwstr> </vt:lpwstr>
  </property>
  <property fmtid="{D5CDD505-2E9C-101B-9397-08002B2CF9AE}" pid="427" name="[YXNn_W2i0WVi2A]425:427">
    <vt:lpwstr> </vt:lpwstr>
  </property>
  <property fmtid="{D5CDD505-2E9C-101B-9397-08002B2CF9AE}" pid="428" name="[YXNn_W2i0WVi2A]426:428">
    <vt:lpwstr> </vt:lpwstr>
  </property>
  <property fmtid="{D5CDD505-2E9C-101B-9397-08002B2CF9AE}" pid="429" name="[YXNn_W2i0WVi2A]427:429">
    <vt:lpwstr> </vt:lpwstr>
  </property>
  <property fmtid="{D5CDD505-2E9C-101B-9397-08002B2CF9AE}" pid="430" name="[YXNn_W2i0WVi2A]428:430">
    <vt:lpwstr> </vt:lpwstr>
  </property>
  <property fmtid="{D5CDD505-2E9C-101B-9397-08002B2CF9AE}" pid="431" name="[YXNn_W2i0WVi2A]429:431">
    <vt:lpwstr> </vt:lpwstr>
  </property>
  <property fmtid="{D5CDD505-2E9C-101B-9397-08002B2CF9AE}" pid="432" name="[YXNn_W2i0WVi2A]430:432">
    <vt:lpwstr> </vt:lpwstr>
  </property>
  <property fmtid="{D5CDD505-2E9C-101B-9397-08002B2CF9AE}" pid="433" name="[YXNn_W2i0WVi2A]431:433">
    <vt:lpwstr> </vt:lpwstr>
  </property>
  <property fmtid="{D5CDD505-2E9C-101B-9397-08002B2CF9AE}" pid="434" name="[YXNn_W2i0WVi2A]432:434">
    <vt:lpwstr> </vt:lpwstr>
  </property>
  <property fmtid="{D5CDD505-2E9C-101B-9397-08002B2CF9AE}" pid="435" name="[YXNn_W2i0WVi2A]433:435">
    <vt:lpwstr> </vt:lpwstr>
  </property>
  <property fmtid="{D5CDD505-2E9C-101B-9397-08002B2CF9AE}" pid="436" name="[YXNn_W2i0WVi2A]434:436">
    <vt:lpwstr> </vt:lpwstr>
  </property>
  <property fmtid="{D5CDD505-2E9C-101B-9397-08002B2CF9AE}" pid="437" name="[YXNn_W2i0WVi2A]435:437">
    <vt:lpwstr> </vt:lpwstr>
  </property>
  <property fmtid="{D5CDD505-2E9C-101B-9397-08002B2CF9AE}" pid="438" name="[YXNn_W2i0WVi2A]436:438">
    <vt:lpwstr> </vt:lpwstr>
  </property>
  <property fmtid="{D5CDD505-2E9C-101B-9397-08002B2CF9AE}" pid="439" name="[YXNn_W2i0WVi2A]437:439">
    <vt:lpwstr> </vt:lpwstr>
  </property>
  <property fmtid="{D5CDD505-2E9C-101B-9397-08002B2CF9AE}" pid="440" name="[YXNn_W2i0WVi2A]438:440">
    <vt:lpwstr> </vt:lpwstr>
  </property>
  <property fmtid="{D5CDD505-2E9C-101B-9397-08002B2CF9AE}" pid="441" name="[YXNn_W2i0WVi2A]439:441">
    <vt:lpwstr> </vt:lpwstr>
  </property>
  <property fmtid="{D5CDD505-2E9C-101B-9397-08002B2CF9AE}" pid="442" name="[YXNn_W2i0WVi2A]440:442">
    <vt:lpwstr> </vt:lpwstr>
  </property>
  <property fmtid="{D5CDD505-2E9C-101B-9397-08002B2CF9AE}" pid="443" name="[YXNn_W2i0WVi2A]441:443">
    <vt:lpwstr> </vt:lpwstr>
  </property>
  <property fmtid="{D5CDD505-2E9C-101B-9397-08002B2CF9AE}" pid="444" name="[YXNn_W2i0WVi2A]442:444">
    <vt:lpwstr> </vt:lpwstr>
  </property>
  <property fmtid="{D5CDD505-2E9C-101B-9397-08002B2CF9AE}" pid="445" name="[YXNn_W2i0WVi2A]443:445">
    <vt:lpwstr> </vt:lpwstr>
  </property>
  <property fmtid="{D5CDD505-2E9C-101B-9397-08002B2CF9AE}" pid="446" name="[YXNn_W2i0WVi2A]444:446">
    <vt:lpwstr> </vt:lpwstr>
  </property>
  <property fmtid="{D5CDD505-2E9C-101B-9397-08002B2CF9AE}" pid="447" name="[YXNn_W2i0WVi2A]445:447">
    <vt:lpwstr> </vt:lpwstr>
  </property>
  <property fmtid="{D5CDD505-2E9C-101B-9397-08002B2CF9AE}" pid="448" name="[YXNn_W2i0WVi2A]446:448">
    <vt:lpwstr> </vt:lpwstr>
  </property>
  <property fmtid="{D5CDD505-2E9C-101B-9397-08002B2CF9AE}" pid="449" name="[YXNn_W2i0WVi2A]447:449">
    <vt:lpwstr> </vt:lpwstr>
  </property>
  <property fmtid="{D5CDD505-2E9C-101B-9397-08002B2CF9AE}" pid="450" name="[YXNn_W2i0WVi2A]448:450">
    <vt:lpwstr> </vt:lpwstr>
  </property>
  <property fmtid="{D5CDD505-2E9C-101B-9397-08002B2CF9AE}" pid="451" name="[YXNn_W2i0WVi2A]449:451">
    <vt:lpwstr> </vt:lpwstr>
  </property>
  <property fmtid="{D5CDD505-2E9C-101B-9397-08002B2CF9AE}" pid="452" name="[YXNn_W2i0WVi2A]450:452">
    <vt:lpwstr> </vt:lpwstr>
  </property>
  <property fmtid="{D5CDD505-2E9C-101B-9397-08002B2CF9AE}" pid="453" name="[YXNn_W2i0WVi2A]451:453">
    <vt:lpwstr> </vt:lpwstr>
  </property>
  <property fmtid="{D5CDD505-2E9C-101B-9397-08002B2CF9AE}" pid="454" name="[YXNn_W2i0WVi2A]452:454">
    <vt:lpwstr> </vt:lpwstr>
  </property>
  <property fmtid="{D5CDD505-2E9C-101B-9397-08002B2CF9AE}" pid="455" name="[YXNn_W2i0WVi2A]453:0">
    <vt:lpwstr> </vt:lpwstr>
  </property>
  <property fmtid="{D5CDD505-2E9C-101B-9397-08002B2CF9AE}" pid="456" name="[MEljZoVi2HJt]0:0">
    <vt:lpwstr>NDUnNnAiNTAnN8MoM8UtMlsmH9xkZWt-ZBtDO-lV1qVm1plB2aVm3VlE0r2i0Gx6ZHN1YWRqYWt8ZWRN0qR-0G-iZmpSMCp62aVm3VxrZWl8_Cts0HNh</vt:lpwstr>
  </property>
  <property fmtid="{D5CDD505-2E9C-101B-9397-08002B2CF9AE}" pid="457" name="[MUljZoVi2HJt]0:0">
    <vt:lpwstr>NDUnNnAiNTAnN8MoM8UtMlsmH9xkZXJ62G-iZmBT3XNoZWo3Vq-iZGxr1mAcN8QhYa-oKSBOVCAlMCskMA</vt:lpwstr>
  </property>
  <property fmtid="{D5CDD505-2E9C-101B-9397-08002B2CF9AE}" pid="458" name="[M9ljZoVi2HJt]0:458">
    <vt:lpwstr>NDUnNnAiNTAnN8MoM8UtMlsmH9Vi2a-m0qthZWtoIFZ61a-6Yal-1lsw2GF70GU5YaxmZGVmPTE5YqVg0HNkYWNd0a1xMCB8ZWlg1GF9ZG-iZnonP8lo18sw2GQyQUlMVVNFU-NQU9xGSUlFPCxoZDsw2GQyQnd1UHJjZrJ60UR62GEwLrR9P8kj2HIyDQcw2HIyPHR9P9FQUERBVEEwLrR9P8loZDtDO-lV1qVm1plB2aVm3VlB1HBEYXR6XFJ</vt:lpwstr>
  </property>
  <property fmtid="{D5CDD505-2E9C-101B-9397-08002B2CF9AE}" pid="459" name="[M9ljZoVi2HJt]457:459">
    <vt:lpwstr>jYWpd0a1wLrR9P8kj2HIyDQcw2HIyPHR9P9NIU9xNRVxDU9FTSFBBRFxQSVBFXotBTUUwLrR9P8loZDt1XCt11G-kZVl81aFn_HB6ZFwrN89mXo6QRp6BQ-BRUVBHRpVPWVYwLrR9P8kj2HIyDQcw2HIyPHR9P9NIU9xNRVxSRVNUQVJUPCxoZDsw2GQyTqt-TGFp0aNc4F2c0qE6IExiZUl62Wt8_CBcYXM5YrJ61q6-ZCs5UaVgYXViYq550a</vt:lpwstr>
  </property>
  <property fmtid="{D5CDD505-2E9C-101B-9397-08002B2CF9AE}" pid="460" name="[M9ljZoVi2HJt]458:460">
    <vt:lpwstr>xrPrlMRUZUXpRPXpJJRo6UPCxoZDswLrRmP5oKPHRmP8loZDtD0qph0qtQ1axb1aFhRa-gZXMwLrR9P8loZDtDO-lQ1axb1aFhIEZd0GVnXENj0Wpj07BG_Wl-1nkj2GQyPCxo18sNC8lo18sw2GQyQqxh0WxiUHJjZrJ60UZd0GVnKH5sN79wLrR9P8loZDtDO-lQ1axb1aFhIEZd0GVnIC6sODYdXENj0Wpj07BG_Wl-1nkj2GQyPCxo18sNC</vt:lpwstr>
  </property>
  <property fmtid="{D5CDD505-2E9C-101B-9397-08002B2CF9AE}" pid="461" name="[M9ljZoVi2HJt]459:461">
    <vt:lpwstr>8lo18sw2GQyQqxh0WxiUHJjZrJ60V1qNDMmPCxoZDsw2GQyQnd1UHJjZrJ60SBG_Wl-1plD0qph0qs5Ra-gZXMwLrR9P8kj2HIyDQcw2HIyPHR9P9NPTVBVVEVST9FNRTkj2GQyPHR9P9FWRVNDTopQVVRFU8kj2GQyPCxo18sNC8lo18sw2GQyQqxhUrB-Ynkj2GQyPHR9P9MuXF2d0aRj2rN11r-n2GVhMnJ1Yqp9LaVsZTkj2GQyPCxo18sN</vt:lpwstr>
  </property>
  <property fmtid="{D5CDD505-2E9C-101B-9397-08002B2CF9AE}" pid="462" name="[M9ljZoVi2HJt]460:462">
    <vt:lpwstr>C8lo18sw2GQyRHJd2aVmRGFoYTkj2GQyPHR9P9MuXF2d0aRj2rN1Ur-n2GVhMnJ1RHJd2aVm1plE1a-qZXJEYXR6PCxoZDswLrRmP5oKPHRmP8loZDtGUFN4Q-JPVpNFU-xBUFB4UFJPR9-MRVxTVFJJT91wLrR9P8loZDtJ0bR-1at-2CBF3HBg0rJ-18kj2GQyPCxo18sNC8lo18sw2GQyR-BTXoJSTp2TRVJ4VVNFU-xQU9xGSUlFXpNUU9-</vt:lpwstr>
  </property>
  <property fmtid="{D5CDD505-2E9C-101B-9397-08002B2CF9AE}" pid="463" name="[M9ljZoVi2HJt]461:463">
    <vt:lpwstr>ORnkj2GQyPHR9P9R-ZaFp0HQwLrR9P8kj2HIyDQcw2HIyPHR9P96PTUVEU9-WRTkj2GQyPHR9P9MuPCxoZDswLrRmP5oKPHRmP8loZDtITopFUEFUSDkj2GQyPHR9P-lV1qVm1plB2aVm3Tkj2GQyPCxo18sNC8lo18sw2GQyTExDQUlBUFBEQVRBPCxoZDsw2GQyQnd1VXN-1bN1QXZ-1b-1QXBkRGFoYVlM0qN60Dkj2GQyPCxo18sNC8lo18</vt:lpwstr>
  </property>
  <property fmtid="{D5CDD505-2E9C-101B-9397-08002B2CF9AE}" pid="464" name="[M9ljZoVi2HJt]462:464">
    <vt:lpwstr>sw2GQyTExHTotTRVJWRVIwLrR9P8loZDt1XEFWRVNDTopQVVRFU8kj2GQyPCxo18sNC8lo18sw2GQyT-VNQ9VSXoxGXpBSToNFUpNPU-MwLrR9P8loZDsoPCxoZDswLrRmP5oKPHRmP8loZDtP0aVE1a-qZTkj2GQyPHR9P9MuXFVnZXJnXEFqZXJtXExiZURm_XZ-PCxoZDswLrRmP5oKPHRmP8loZDtP0aVE1a-qZUNj0bNp0WVmPCxoZDsw2</vt:lpwstr>
  </property>
  <property fmtid="{D5CDD505-2E9C-101B-9397-08002B2CF9AE}" pid="465" name="[M9ljZoVi2HJt]463:465">
    <vt:lpwstr>GQyQnd1VXN-1bN1QXZ-1b-1Tqt-RHJd2aUwLrR9P8kj2HIyDQcw2HIyPHR9P9xTPCxoZDsw2GQyVq-iZGxr1pxOVDkj2GQyPCxo18sNC8lo18sw2GQyUGFo_Dkj2GQyPHR9P9MuXFBm0q2mYWo5Ra-gZXN1TW-81axn0qZoIExaZa-8ZVlS0qxoXExaZa-8ZTEqXDhDO-lX_Wt90r2nXHNt1rR-0TMmOoMuXF2d0aRj2rMvQnd1Vq-iZGxr1plT</vt:lpwstr>
  </property>
  <property fmtid="{D5CDD505-2E9C-101B-9397-08002B2CF9AE}" pid="466" name="[M9ljZoVi2HJt]464:466">
    <vt:lpwstr>3XNoZWonM-lXYaVhOoMuXF2d0aRj2rN1Ur-n2GVhMnJ1Vq-iZGxr1pBj2qVmUq6-0Gl128EiMFkvQnd1Vq-iZGxr1plT3XNoZWonM-lP1GViUpNIXDhDO-lQ1axb1aFhIEZd0GVnXE-i2GVgXF2dRa-1Ya-iXDhDO-lQ1axb1aFhIEZd0GVnXENj0Wpj07BG_Wl-1plJ0bR-0FlX_XJ-0GVn1oNj0Wpj0-kvQnd1UHJjZrJ60SBG_Wl-1pl90rR</vt:lpwstr>
  </property>
  <property fmtid="{D5CDD505-2E9C-101B-9397-08002B2CF9AE}" pid="467" name="[M9ljZoVi2HJt]465:467">
    <vt:lpwstr>iZXR1OoMuXFVnZXJnXEFqZXJtXEFk1ER62GF1TGx8YWl1TW-81axn0qZoXF2d0aRj2rNB1HBnOoMuXFVnZXJnXEFqZXJtXCt90rRiZXR12Gxj0HMvQnd1VXN-1bN1QXZ-1b-1QXBkRGFoYVlM0qN60FlQ1axb1aFh1plN_WNm0rNjZbQ5V-M5Qqx9ZVl7_WsvQnd1UHJjZrJ60SBG_Wl-1plN_WNm0rNjZbQ5TqZa_WN-XHJj0rR1QqldZWtoPC</vt:lpwstr>
  </property>
  <property fmtid="{D5CDD505-2E9C-101B-9397-08002B2CF9AE}" pid="468" name="[M9ljZoVi2HJt]466:468">
    <vt:lpwstr>xoZDswLrRmP5oKPHRmP8loZDtQQVRIRV6UPCxoZDsw2GQyL9NPTTgiRV6FOmtCQVQvL9NNRDgiV9JTOmtWQ9UvL9dTOmtKUoUvL-2TR8giVpNIOmtNUoMwLrR9P8kj2HIyDQcw2HIyPHR9P-BSToNFUpNPU-xBU9NISVRFQpRVU9UwLrR9P8loZDtBTUQqNDkj2GQyPCxo18sNC8lo18sw2GQyUFJPQoVTUoxSXo-ERUtUSUZJRVIwLrR9P8loZ</vt:lpwstr>
  </property>
  <property fmtid="{D5CDD505-2E9C-101B-9397-08002B2CF9AE}" pid="469" name="[M9ljZoVi2HJt]467:469">
    <vt:lpwstr>DtJ0bR-0DYoIEZ60W-g3SAqIEpjZGVgIDEmM7BT2GVk1G-iZmAsLCBHZWtp_Wt-SWtoZWkwLrR9P8kj2HIyDQcw2HIyPHR9P-BSToNFUpNPU-xMRVZFTDkj2GQyPHR9P8YwLrR9P8kj2HIyDQcw2HIyPHR9P-BSToNFUpNPU-xSRVZJUo-PT8kj2GQyPHR9P826MD5wLrR9P8kj2HIyDQcw2HIyPHR9P-Bm0q2mYWpEYXR6PCxoZDsw2GQyQnd1</vt:lpwstr>
  </property>
  <property fmtid="{D5CDD505-2E9C-101B-9397-08002B2CF9AE}" pid="470" name="[M9ljZoVi2HJt]468:470">
    <vt:lpwstr>UHJjZrJ60UR62GEwLrR9P8kj2HIyDQcw2HIyPHR9P-Bm0q2mYWpG_Wl-1nkj2GQyPHR9P9MuXFBm0q2mYWo5Ra-gZXMwLrR9P8kj2HIyDQcw2HIyPHR9P-Bm0q2mYWpG_Wl-1m6sODYdPCxoZDsw2GQyQnd1UHJjZrJ60SBG_Wl-1mAc3D5qKTkj2GQyPCxo18sNC8lo18sw2GQyUHJjZrJ60V1qNDMmPCxoZDsw2GQyQnd1UHJjZrJ60SBG_Wl</vt:lpwstr>
  </property>
  <property fmtid="{D5CDD505-2E9C-101B-9397-08002B2CF9AE}" pid="471" name="[M9ljZoVi2HJt]469:471">
    <vt:lpwstr>-1nkj2GQyPCxo18sNC8lo18sw2GQyUFNN0qRp0GVQYXRcPCxoZDsw2GQyJVBm0q2mYWpG_Wl-1mV1Vq-iZGxr1pBj2qVmUq6-0Gl1TWx92Wl-1nhDO-lX_Wt90r2nXHNt1rR-0TMmXF2d0aRj2rNQ0r2-1-NcZWlgXHYlL8B1TWx92Wl-1nkj2GQyPCxo18sNC8lo18sw2GQyUFVCTE-DPCxoZDsw2GQyQnd1VXN-1bN1UHV70G-8PCxoZDswLr</vt:lpwstr>
  </property>
  <property fmtid="{D5CDD505-2E9C-101B-9397-08002B2CF9AE}" pid="472" name="[M9ljZoVi2HJt]470:472">
    <vt:lpwstr>RmP5oKPHRmP8loZDtT3XNoZWpE1a-qZTkj2GQyPHR9P9MuPCxoZDswLrRmP5oKPHRmP8loZDtT3XNoZWpS0qxoPCxoZDsw2GQyQnd1Vq-iZGxr1nkj2GQyPCxo18sNC8lo18sw2GQyVEVNUDkj2GQyPHR9P9MuXFVnZXJnXEFqZXJtXEFk1ER62GF1TGx8YWl1VGVh1Dkj2GQyPCxo18sNC8lo18sw2GQyVEpQPCxoZDsw2GQyQnd1VXN-1bN1Q</vt:lpwstr>
  </property>
  <property fmtid="{D5CDD505-2E9C-101B-9397-08002B2CF9AE}" pid="473" name="[M9ljZoVi2HJt]471:473">
    <vt:lpwstr>XZ-1b-1QXBkRGFoYVlM0qN60FlUZWpkPCxoZDswLrRmP5oKPHRmP8loZDtVUoVSRExNQU-OPCxoZDsw2GQyQVZFUoNPTVBVVEVSPCxoZDswLrRmP5oKPHRmP8loZDtVUoVSRExNQU-OXpJPQUpJT92QU9xGSUlFPCxoZDsw2GQyQVZFUoNPTVBVVEVSPCxoZDswLrRmP5oKPHRmP8loZDtVUoVST9FNRTkj2GQyPHR9P9FqZXJtPCxoZDswLrRm</vt:lpwstr>
  </property>
  <property fmtid="{D5CDD505-2E9C-101B-9397-08002B2CF9AE}" pid="474" name="[M9ljZoVi2HJt]472:0">
    <vt:lpwstr>P5oKPHRmP8loZDtVUoVSUFJPR9-MRTkj2GQyPHR9P9MuXFVnZXJnXEFqZXJtPCxoZDswLrRmP5oKPHRmP8loZDtr_Wt9_XIwLrR9P8loZDtDO-lX_Wt90r2nPCxoZDswLrRmP5oKPHRmP8loZDt_RVN4RUtBQ9lFXpNZUopBT8kj2GQyPHR9P8EwLrR9P8kj2HIyDQcwLrR6Yal-P5</vt:lpwstr>
  </property>
  <property fmtid="{D5CDD505-2E9C-101B-9397-08002B2CF9AE}" pid="475" name="[MoljZoVi2HJt]0:475">
    <vt:lpwstr>NDUnNnAiNTAnN8MoM8UtMlsmH9t-2H2j1ag5QqxiZa-b2XJ62G-j06sw1HJ-P8EtM7slN85iMSslNn5gIGZ-ODAuOaV9YaIuN8B9N8coMqR7OaIoMWEgIDIqMDAuMT1kM8cmZ8AqOaEmM8AuZ8ElZTcnYnN9OaYtOWYuOTQpN7k5M8YkMDclNnAmO8JaMDYuYTImMDcrMn5uNn5kMTcmYnQlO8EqYnMgIDIqMDAuMT1kM8cmZ8AqOaEmM8AuO8I</vt:lpwstr>
  </property>
  <property fmtid="{D5CDD505-2E9C-101B-9397-08002B2CF9AE}" pid="476" name="[MoljZoVi2HJt]474:0">
    <vt:lpwstr>nPCxk1aUy</vt:lpwstr>
  </property>
  <property fmtid="{D5CDD505-2E9C-101B-9397-08002B2CF9AE}" pid="477" name="[NEljZoVi2HJt]0:0">
    <vt:lpwstr>NDUnNnAiNTAnNnIqODUlOBstH9-i1rRm2WNo_Wxi1k</vt:lpwstr>
  </property>
  <property fmtid="{D5CDD505-2E9C-101B-9397-08002B2CF9AE}" pid="478" name="[NUljZoVi2HJt]0:0">
    <vt:lpwstr>NDUnNnAiNTAnNn5oNnImM6slH-Nc0r15QXNn_Wtb0WVi2CBd07BC1axr1qVm</vt:lpwstr>
  </property>
  <property fmtid="{D5CDD505-2E9C-101B-9397-08002B2CF9AE}" pid="479" name="[N9ljZoVi2HJt]0:0">
    <vt:lpwstr>NDUnNnAiNTAoM8AlMn5sORspH9JpZG2-2BtCORtd0aNj0WU3_Wt80qp-H8E</vt:lpwstr>
  </property>
  <property fmtid="{D5CDD505-2E9C-101B-9397-08002B2CF9AE}" pid="480" name="[NoljZoVi2HJt]0:0">
    <vt:lpwstr>NDUnNnAiNTAoMnErMTItN6spH9JpZG2-2BtCORtJ0aNj0WU3SWt80qp-H8E</vt:lpwstr>
  </property>
  <property fmtid="{D5CDD505-2E9C-101B-9397-08002B2CF9AE}" pid="481" name="[OEljZoVi2HJt]0:0">
    <vt:lpwstr>NDUnNnAiNTAoMn1pH8U3QbV9ZqVoH9ItH9-iYqxhZRtJ0aNj0WU3MQ</vt:lpwstr>
  </property>
  <property fmtid="{D5CDD505-2E9C-101B-9397-08002B2CF9AE}" pid="482" name="[OUljZoVi2HJt]0:0">
    <vt:lpwstr>NDUnNnAiNTAoND1tMTYqNlspH9JpZG2-2BtCMTA3UGFtYq6-Yqg3UGFtYq6-Yqg3MQ</vt:lpwstr>
  </property>
  <property fmtid="{D5CDD505-2E9C-101B-9397-08002B2CF9AE}" pid="483" name="[MTBM0q2F0bRm3Q]0:0">
    <vt:lpwstr>NDUnNnAiNTAoN8QlM8AnNlspH9JpZG2-2BtDMTA3M8AkMBsmLDAkMBsl</vt:lpwstr>
  </property>
  <property fmtid="{D5CDD505-2E9C-101B-9397-08002B2CF9AE}" pid="484" name="[MTFM0q2F0bRm3Q]0:0">
    <vt:lpwstr>NDUnNnAiNTAoODEoODEoOBstH9JpZG2-2CBD0qtoZX6o</vt:lpwstr>
  </property>
  <property fmtid="{D5CDD505-2E9C-101B-9397-08002B2CF9AE}" pid="485" name="[MTJM0q2F0bRm3Q]0:0">
    <vt:lpwstr>NDUnNnAiNTAoOTYpM81rOBspH9JpZG2-2BtCMTI3RX6kZWtnZXM3RX6kZWtnZXM3MQ</vt:lpwstr>
  </property>
  <property fmtid="{D5CDD505-2E9C-101B-9397-08002B2CF9AE}" pid="486" name="[MTNM0q2F0bRm3Q]0:0">
    <vt:lpwstr>NDUnNnAiNTApMDYtNDQoNBspH9JpZG2-2BtCMTM3UaVi2BtSZWtoH8E</vt:lpwstr>
  </property>
  <property fmtid="{D5CDD505-2E9C-101B-9397-08002B2CF9AE}" pid="487" name="[MTRM0q2F0bRm3Q]0:0">
    <vt:lpwstr>NDUnNnAiNTApMTEpNnQkNlspH9JpZG2-2BtCMTQ3RqFnH9261lsl</vt:lpwstr>
  </property>
  <property fmtid="{D5CDD505-2E9C-101B-9397-08002B2CF9AE}" pid="488" name="[MTVM0q2F0bRm3Q]0:0">
    <vt:lpwstr>NDUnNnAiNTApM8EtOTArNBspH9JpZG2-2BtCMTU3RrJjYqVm_WVnH92m0qN-1a--1lsl</vt:lpwstr>
  </property>
  <property fmtid="{D5CDD505-2E9C-101B-9397-08002B2CF9AE}" pid="489" name="[MTZM0q2F0bRm3Q]0:0">
    <vt:lpwstr>NDUnNnAiNTApMnIoMD1oMRspH9JpZG2-2BtCMTY3Rr-hIEp-0WJ-1bNc_XA5H92t0SBNZWp7ZXJn_G-kIBsl</vt:lpwstr>
  </property>
  <property fmtid="{D5CDD505-2E9C-101B-9397-08002B2CF9AE}" pid="490" name="[MT2M0q2F0bRm3Q]0:0">
    <vt:lpwstr>NDUnNnAiNTApNTAtM8UtMlspH9JpZG2-2BtCMT13RX6o1aE3RX6o1aE3MQ</vt:lpwstr>
  </property>
  <property fmtid="{D5CDD505-2E9C-101B-9397-08002B2CF9AE}" pid="491" name="[MT6M0q2F0bRm3Q]0:0">
    <vt:lpwstr>NDUnNnAiNTApNTUpNTUpN6spH9JpZG2-2BtDMTM3MnAkH8MkMBsl</vt:lpwstr>
  </property>
  <property fmtid="{D5CDD505-2E9C-101B-9397-08002B2CF9AE}" pid="492" name="[MT-M0q2F0bRm3Q]0:0">
    <vt:lpwstr>NDUnNnAiNTApN8AlODUlORspH9JpZG2-2BtDMTQ3MTAkH8EkMBsl</vt:lpwstr>
  </property>
  <property fmtid="{D5CDD505-2E9C-101B-9397-08002B2CF9AE}" pid="493" name="[M8BM0q2F0bRm3Q]0:0">
    <vt:lpwstr>NDUnNnAiNTApN8MqNT1oMRspH9JpZG2-2BtDMTU3M8AkH7A9ICA5ICA5ICA5ICAmMDA5H8E</vt:lpwstr>
  </property>
  <property fmtid="{D5CDD505-2E9C-101B-9397-08002B2CF9AE}" pid="494" name="[M8FM0q2F0bRm3Q]0:0">
    <vt:lpwstr>NDUnNnAiNTApN85mOD1kNBspH9JpZG2-2BtDMTY3ODA3ICQ5ICA5ICA5ICA5ICA5ODA5H8E</vt:lpwstr>
  </property>
  <property fmtid="{D5CDD505-2E9C-101B-9397-08002B2CF9AE}" pid="495" name="[M8JM0q2F0bRm3Q]0:0">
    <vt:lpwstr>NDUnNnAiNTApNnErNT9mN6spH9JpZG2-2BtDMT13MTAkH7A9ICA5ICA5ICA5ICAlMDA5H8E</vt:lpwstr>
  </property>
  <property fmtid="{D5CDD505-2E9C-101B-9397-08002B2CF9AE}" pid="496" name="[M8NM0q2F0bRm3Q]0:0">
    <vt:lpwstr>NDUnNnAiNTApODIlNnUtMlspH9JpZG2-2BtDMT13M8AkH7A9ICA5ICA5ICA5ICAmMDA5H8E</vt:lpwstr>
  </property>
  <property fmtid="{D5CDD505-2E9C-101B-9397-08002B2CF9AE}" pid="497" name="[M8RM0q2F0bRm3Q]0:0">
    <vt:lpwstr>NDUnNnAiNTApOTEoMnUlORspH9JpZG2-2BtDMTYuQnErH8EkMBs5JCA5ICA5MTAkL8AkIBsl</vt:lpwstr>
  </property>
  <property fmtid="{D5CDD505-2E9C-101B-9397-08002B2CF9AE}" pid="498" name="[M8VM0q2F0bRm3Q]0:0">
    <vt:lpwstr>NDUnNnAiNTApOTYkN8QsMRspH9JpZG2-2BtDMTYuQnErH85kH7A9ICA5ICA5ICA5ICA5ID5kIBsl</vt:lpwstr>
  </property>
  <property fmtid="{D5CDD505-2E9C-101B-9397-08002B2CF9AE}" pid="499" name="[M8ZM0q2F0bRm3Q]0:0">
    <vt:lpwstr>NDUnNnAiNTAqN8MlOTQoNBspH9JpZG2-2BslMTclMRs3H8E</vt:lpwstr>
  </property>
  <property fmtid="{D5CDD505-2E9C-101B-9397-08002B2CF9AE}" pid="500" name="[M82M0q2F0bRm3Q]0:0">
    <vt:lpwstr>NDUnNnAiNTAqN81sM8QkNlspH9JpZG2-2BtBMTE3H6sl</vt:lpwstr>
  </property>
  <property fmtid="{D5CDD505-2E9C-101B-9397-08002B2CF9AE}" pid="501" name="[M86M0q2F0bRm3Q]0:0">
    <vt:lpwstr>NDUnNnAiNTAqNn5mNDArNBspH9JpZG2-2BtCMTE3VGxoYWk5SWt80qp-IBtU0rR60CBJ0aNj0WU5H8E</vt:lpwstr>
  </property>
  <property fmtid="{D5CDD505-2E9C-101B-9397-08002B2CF9AE}" pid="502" name="[M8-M0q2F0bRm3Q]0:0">
    <vt:lpwstr>NDUnNnAiNTAqODUlODUlORspH9JpZG2-2BslMDclMBs3H8E</vt:lpwstr>
  </property>
  <property fmtid="{D5CDD505-2E9C-101B-9397-08002B2CF9AE}" pid="503" name="[MnBM0q2F0bRm3Q]0:0">
    <vt:lpwstr>NDUnNnAiNTArMDYkMT5pM6spH9JpZG2-2BtCMTE3UGFtYq6-Yqg5QXQ5Vqxm_ltQYX-8_GV8_mBB2CBX0rJfH8E</vt:lpwstr>
  </property>
  <property fmtid="{D5CDD505-2E9C-101B-9397-08002B2CF9AE}" pid="504" name="[MnFM0q2F0bRm3Q]0:0">
    <vt:lpwstr>NDUnNnAiNTArMT5rNRspH9JpZG2-2BtCMTA3RrVd2GFmIEl-1rNj0bM3RrVd2GFmIEl-1rNj0bM3MQ</vt:lpwstr>
  </property>
  <property fmtid="{D5CDD505-2E9C-101B-9397-08002B2CF9AE}" pid="505" name="[MnJM0q2F0bRm3Q]0:0">
    <vt:lpwstr>NDUnNnAiNTArM8QpMn1kNBspH9JpZG2-2BtDMTA3MnAkH8MkMBsl</vt:lpwstr>
  </property>
  <property fmtid="{D5CDD505-2E9C-101B-9397-08002B2CF9AE}" pid="506" name="[MnNM0q2F0bRm3Q]0:0">
    <vt:lpwstr>NDUnNnAiNTArMn1mN85pM6spH9JpZG2-2BtDMTI3H6sl</vt:lpwstr>
  </property>
  <property fmtid="{D5CDD505-2E9C-101B-9397-08002B2CF9AE}" pid="507" name="[MnRM0q2F0bRm3Q]0:0">
    <vt:lpwstr>NDUnNnAiNTArNnAsMnMnMlspH9JpZG2-2BtDMTI3PVNVTS6d0793IotBTUUzH8E</vt:lpwstr>
  </property>
  <property fmtid="{D5CDD505-2E9C-101B-9397-08002B2CF9AE}" pid="508" name="[MnVM0q2F0bRm3Q]0:0">
    <vt:lpwstr>NDUnNnAiNTArODEmNRspH9JpZG2-2BtDMTI3PVNVTS6J0aNj0WUdH7A9IDIgMnAkL8AkIBsl</vt:lpwstr>
  </property>
  <property fmtid="{D5CDD505-2E9C-101B-9397-08002B2CF9AE}" pid="509" name="[MnZM0q2F0bRm3Q]0:0">
    <vt:lpwstr>NDUnNnAiNTArOTUlMn5sORspH9JpZG2-2BtCM8A3VGxoYWk5RX6kZWtnZXM3VGxoYWk5RX6kZWtnZXM3MQ</vt:lpwstr>
  </property>
  <property fmtid="{D5CDD505-2E9C-101B-9397-08002B2CF9AE}" pid="510" name="[Mn2M0q2F0bRm3Q]0:0">
    <vt:lpwstr>NDUnNnAiNTAsM8UmMnEoOBspH9JpZG2-2BtDM8A3PVNVTS6F3HB-0bN-1m93ICQ5ICA5ICA5ICA5ID5sMCA3MQ</vt:lpwstr>
  </property>
  <property fmtid="{D5CDD505-2E9C-101B-9397-08002B2CF9AE}" pid="511" name="[Mn6M0q2F0bRm3Q]0:0">
    <vt:lpwstr>NDUnNnAiNTAsMnMnMnMnMlspH9JpZG2-2BtDM8A3PVNVTS6F3HB-0bN-1m93ICQ5ICA5ICA5ICA5ID5sMCA3MQ</vt:lpwstr>
  </property>
  <property fmtid="{D5CDD505-2E9C-101B-9397-08002B2CF9AE}" pid="512" name="[Mn-M0q2F0bRm3Q]0:0">
    <vt:lpwstr>NDUnNnAiNTAsNTUnM8QkNlspH9JpZG2-2BtDM8A3H6sl</vt:lpwstr>
  </property>
  <property fmtid="{D5CDD505-2E9C-101B-9397-08002B2CF9AE}" pid="513" name="[NDBM0q2F0bRm3Q]0:0">
    <vt:lpwstr>NDUnNnAiNTAtMT5tODEoOBspH9JpZG2-2BtDM8A3PVNVTS6F3HB-0bN-1m93ICQ5ICA5ICA5ICA5ID5sMCA3MQ</vt:lpwstr>
  </property>
  <property fmtid="{D5CDD505-2E9C-101B-9397-08002B2CF9AE}" pid="514" name="[NDFM0q2F0bRm3Q]0:0">
    <vt:lpwstr>NDUnNnAiNTAtNT9oOTArNBspH9JpZG2-2BtCM8I3UqFq_Wtb1mA3UqFq_Wtb1mA3MQ</vt:lpwstr>
  </property>
  <property fmtid="{D5CDD505-2E9C-101B-9397-08002B2CF9AE}" pid="515" name="[NDJM0q2F0bRm3Q]0:0">
    <vt:lpwstr>NDUnNnAiNTAtOTYpM81rOBspH9JpZG2-2BtDM8I3PU-iYqxhZSpF3HB-0bN-1ls5JCA5ICA5ICA5ICA5ICA5LSA5IBsl</vt:lpwstr>
  </property>
  <property fmtid="{D5CDD505-2E9C-101B-9397-08002B2CF9AE}" pid="516" name="[NDNM0q2F0bRm3Q]0:0">
    <vt:lpwstr>NDUnNnAiNTEkMD5lMDEsNRspH9JpZG2-2BtDM8M3H7A9ICA5ICA5IDEgOTAkIBsl</vt:lpwstr>
  </property>
  <property fmtid="{D5CDD505-2E9C-101B-9397-08002B2CF9AE}" pid="517" name="[NDRM0q2F0bRm3Q]0:0">
    <vt:lpwstr>NDUnNnAiNTEkMTAoMTYqNlspH9JpZG2-2BtDM8I3H6sl</vt:lpwstr>
  </property>
  <property fmtid="{D5CDD505-2E9C-101B-9397-08002B2CF9AE}" pid="518" name="[NDVM0q2F0bRm3Q]0:0">
    <vt:lpwstr>NDUnNnAiNTEkMnMpN8QsMRspH9JpZG2-2BtDM8I3PS6J0aNj0WUhRX6kZWtnZXMdH7A9ICA5ICA5ICA5ICA5ICAhICA5H8E</vt:lpwstr>
  </property>
  <property fmtid="{D5CDD505-2E9C-101B-9397-08002B2CF9AE}" pid="519" name="[NDZM0q2F0bRm3Q]0:0">
    <vt:lpwstr>NDUnNnAiNTEkNn9sN8ElMRspH9JpZG2-2BtDM8I3H6sl</vt:lpwstr>
  </property>
  <property fmtid="{D5CDD505-2E9C-101B-9397-08002B2CF9AE}" pid="520" name="[ND2M0q2F0bRm3Q]0:0">
    <vt:lpwstr>NDUnNnAiNTEkOT1mM8ImM6spH9JpZG2-2BtDM8I3PS6U0rR60FxJ0aNj0WUhVGxoYWl4RX6kZWtnZXMdH7A9ICA5ICA5IDEgNDIkIBsl</vt:lpwstr>
  </property>
  <property fmtid="{D5CDD505-2E9C-101B-9397-08002B2CF9AE}" pid="521" name="[ND6M0q2F0bRm3Q]0:0">
    <vt:lpwstr>NDUnNnAiNTElNDUsMnMnMlstH8EiMSBOYWp-IE-iYqxhZQ</vt:lpwstr>
  </property>
  <property fmtid="{D5CDD505-2E9C-101B-9397-08002B2CF9AE}" pid="522" name="[ND-M0q2F0bRm3Q]0:0">
    <vt:lpwstr>NDUnNnAiNTElND9nMDUpN6stH8EiM7BOYWp-IEVs1GVi1qVn</vt:lpwstr>
  </property>
  <property fmtid="{D5CDD505-2E9C-101B-9397-08002B2CF9AE}" pid="523" name="[NTBM0q2F0bRm3Q]0:0">
    <vt:lpwstr>NDUnNnAiNTElNTAoN8ItN6stH8EiMmBOYWp-IFN62a-iZrM</vt:lpwstr>
  </property>
  <property fmtid="{D5CDD505-2E9C-101B-9397-08002B2CF9AE}" pid="524" name="[NTFM0q2F0bRm3Q]0:0">
    <vt:lpwstr>NDUnNnAiNTElNTMtMnUlOBstH9N61q55Ralj2mBD0qtoZX6o</vt:lpwstr>
  </property>
  <property fmtid="{D5CDD505-2E9C-101B-9397-08002B2CF9AE}" pid="525" name="[NTJM0q2F0bRm3Q]0:0">
    <vt:lpwstr>NDUnNnAiOTQqNDYtOTArNBstH9-i1rRm2WNo_Wxi1k</vt:lpwstr>
  </property>
  <property fmtid="{D5CDD505-2E9C-101B-9397-08002B2CF9AE}" pid="526" name="[NTNM0q2F0bRm3Q]0:0">
    <vt:lpwstr>NDUnNnAiOTQqNDYtOTArNBstH9N61q55Ralj2mBD0qtoZX6o</vt:lpwstr>
  </property>
  <property fmtid="{D5CDD505-2E9C-101B-9397-08002B2CF9AE}" pid="527" name="[NTRM0q2F0bRm3Q]0:0">
    <vt:lpwstr>NDUnNnAiOTQrMTYoMnUlORstH8IiMSBDYXNcIE-iZalj2rM</vt:lpwstr>
  </property>
  <property fmtid="{D5CDD505-2E9C-101B-9397-08002B2CF9AE}" pid="528" name="[NTVM0q2F0bRm3Q]0:0">
    <vt:lpwstr>NDUnNnAiOTQrN8IrMnEoOBspH9N61q6G0GxrH9QlMlsx1rVhH7NOQUpFPlsl</vt:lpwstr>
  </property>
  <property fmtid="{D5CDD505-2E9C-101B-9397-08002B2CF9AE}" pid="529" name="[NTZM0q2F0bRm3Q]0:0">
    <vt:lpwstr>NDUnNnAiOTQrODMpN8QsMRspH9N61q6G0GxrH9QlMlsxUpVNKEQlMTdEMTIdH7QsNmkkMDAiMDA3MQ</vt:lpwstr>
  </property>
  <property fmtid="{D5CDD505-2E9C-101B-9397-08002B2CF9AE}" pid="530" name="[NT2M0q2F0bRm3Q]0:0">
    <vt:lpwstr>NDUnNnAiOTQrOD9nNTEsNRspH9N61q6G0GxrH9UlMlsxUpVNKEUlMTdFMTIdH7QlMD1gMDAkL8AkH8E</vt:lpwstr>
  </property>
  <property fmtid="{D5CDD505-2E9C-101B-9397-08002B2CF9AE}" pid="531" name="[NT6M0q2F0bRm3Q]0:0">
    <vt:lpwstr>NDUnNnAiOTQrOTUlMn5sORspH9N61q6G0GxrH9UlMlsxUpVNKEUlMTdFMTIdH7QlMD1gMDAkL8AkH8E</vt:lpwstr>
  </property>
  <property fmtid="{D5CDD505-2E9C-101B-9397-08002B2CF9AE}" pid="532" name="[NT-M0q2F0bRm3Q]0:0">
    <vt:lpwstr>NDUnNnAiOTQrOT5qMTElMRspH9N61q6G0GxrH9YlMndJMTM3PVNVTS6GMTEuR8EmKRs9MTIqLDUkMCskMBsl</vt:lpwstr>
  </property>
  <property fmtid="{D5CDD505-2E9C-101B-9397-08002B2CF9AE}" pid="533" name="[N8BM0q2F0bRm3Q]0:0">
    <vt:lpwstr>NDUnNnAiOTQsMTAlODUlOBspH9N61q6G0GxrH9UlMlsxUpVNKEUlMTdFMTIdH7QlMD1gMDAkL8AkH8E</vt:lpwstr>
  </property>
  <property fmtid="{D5CDD505-2E9C-101B-9397-08002B2CF9AE}" pid="534" name="[N8FM0q2F0bRm3Q]0:0">
    <vt:lpwstr>NDUnNnAiOTQsMT5mOD1kNBspH9N61q6G0GxrH9UlMlsxUpVNKEUlMTdFMTIdH7QlMD1gMDAkL8AkH8E</vt:lpwstr>
  </property>
  <property fmtid="{D5CDD505-2E9C-101B-9397-08002B2CF9AE}" pid="535" name="[N8JM0q2F0bRm3Q]0:0">
    <vt:lpwstr>NDUnNnAiOTQsM81pNDYnH8U3QqFn_EZg0r13RTEnH8pTVUocRTElO9UlMm93JDEkLD1kMCkkMDAiMDA3MQ</vt:lpwstr>
  </property>
  <property fmtid="{D5CDD505-2E9C-101B-9397-08002B2CF9AE}" pid="536" name="[N8NM0q2F0bRm3Q]0:0">
    <vt:lpwstr>NDUnNnAiOTQsNDAmNn1rOBspH9N61q6G0GxrH9YlMlsxUpVNKEYlMTdGMTMdH7M8ImM8ImM8ImM3MQ</vt:lpwstr>
  </property>
  <property fmtid="{D5CDD505-2E9C-101B-9397-08002B2CF9AE}" pid="537" name="[N8RM0q2F0bRm3Q]0:0">
    <vt:lpwstr>NDUnNnAiOTQsNDIpOTIpORspH9N61q6G0GxrH9YlMlsxUpVNKEYlMTdGMTIdH7QlM8YgNTAkL8AkH8E</vt:lpwstr>
  </property>
  <property fmtid="{D5CDD505-2E9C-101B-9397-08002B2CF9AE}" pid="538" name="[N8VM0q2F0bRm3Q]0:0">
    <vt:lpwstr>NDUnNnAiOTQsNDQtMD1oMRspH9N61q6G0GxrH9UlMlsxUpVNKEUlMTdFMTIdH7QlMD1gMDAkL8AkH8E</vt:lpwstr>
  </property>
  <property fmtid="{D5CDD505-2E9C-101B-9397-08002B2CF9AE}" pid="539" name="[N8ZM0q2F0bRm3Q]0:0">
    <vt:lpwstr>NDUnNnAiOTQsNT1qMn5sORstH8IiM7BU0rR60CBF3HB-0bN-1k</vt:lpwstr>
  </property>
  <property fmtid="{D5CDD505-2E9C-101B-9397-08002B2CF9AE}" pid="540" name="[N82M0q2F0bRm3Q]0:0">
    <vt:lpwstr>NDUnNnAiOTQsOD1rMnEoOBspH9N61q6G0GxrH9QmNBsxUpVNKEQlN8dEM8MdH7QtOSkoMDAiMDA3MQ</vt:lpwstr>
  </property>
  <property fmtid="{D5CDD505-2E9C-101B-9397-08002B2CF9AE}" pid="541" name="[N86M0q2F0bRm3Q]0:0">
    <vt:lpwstr>NDUnNnAiOTQsOTEmMDMrH8U3QqFn_EZg0r13RTIoH8pTVUocRTEqO9UmMm93JDElNmkrMDAiMDA3MQ</vt:lpwstr>
  </property>
  <property fmtid="{D5CDD505-2E9C-101B-9397-08002B2CF9AE}" pid="542" name="[N8-M0q2F0bRm3Q]0:0">
    <vt:lpwstr>NDUnNnAiOTQsOTUsMnMnMlspH9N61q6G0GxrH9YmNDdJM8Q3PVNVTS6GMTYuR8InKRs9MTIpLD5kMCskMBsl</vt:lpwstr>
  </property>
  <property fmtid="{D5CDD505-2E9C-101B-9397-08002B2CF9AE}" pid="543" name="[NnBM0q2F0bRm3Q]0:0">
    <vt:lpwstr>NDUnNnAiOTQtMDEqM8AnNlstH8IiMmBOZXQ5QqFn_CBG0Gxr1k</vt:lpwstr>
  </property>
  <property fmtid="{D5CDD505-2E9C-101B-9397-08002B2CF9AE}" pid="544" name="[NnFM0q2F0bRm3Q]0:0">
    <vt:lpwstr>NDUnNnAiOTQtODIqMn5sORspH9N61q6G0GxrH9QmN6sxKEQlMmpEM8QdH7o9MTIgNDAkL8AkH8E</vt:lpwstr>
  </property>
  <property fmtid="{D5CDD505-2E9C-101B-9397-08002B2CF9AE}" pid="545" name="[NnJM0q2F0bRm3Q]0:0">
    <vt:lpwstr>NDUnNnAiOTQtOD9pODMnMlspH9N61q6G0GxrH9UmN8dIM8Y3PS6FMTMhRTIoKRshJDEkLD1kMCskMBsl</vt:lpwstr>
  </property>
  <property fmtid="{D5CDD505-2E9C-101B-9397-08002B2CF9AE}" pid="546" name="[NnNM0q2F0bRm3Q]0:0">
    <vt:lpwstr>NDUnNnAiOTUkMDElNT1oMRspH9N61q6G0GxrH99mN6sxKE9lMmpJM8QdH7QlN7kmNDAiMDA3MQ</vt:lpwstr>
  </property>
  <property fmtid="{D5CDD505-2E9C-101B-9397-08002B2CF9AE}" pid="547" name="[NnRM0q2F0bRm3Q]0:0">
    <vt:lpwstr>NDUnNnAiOTUkMDMoNnImM6stH8IiNCBT_Gxm2GZ60Gk50rI5UrVm1Glp1k</vt:lpwstr>
  </property>
  <property fmtid="{D5CDD505-2E9C-101B-9397-08002B2CF9AE}" pid="548" name="[NnVM0q2F0bRm3Q]0:0">
    <vt:lpwstr>NDUnNnAiOTUkNT9kM81rOBspH9N61q6G0GxrH9QmOBsxKEQsKoQmN793LSQrLDQkMCskMBsl</vt:lpwstr>
  </property>
  <property fmtid="{D5CDD505-2E9C-101B-9397-08002B2CF9AE}" pid="549" name="[NnZM0q2F0bRm3Q]0:0">
    <vt:lpwstr>NDUnNnAiOTUkN81lM89qMlspH9N61q6G0GxrH9UmOBsxKEUsKoUmN793LSQlMCkrMDAiMDA3MQ</vt:lpwstr>
  </property>
  <property fmtid="{D5CDD505-2E9C-101B-9397-08002B2CF9AE}" pid="550" name="[Nn2M0q2F0bRm3Q]0:0">
    <vt:lpwstr>NDUnNnAiOTUkNn5rMDMrH8U3QqFn_EZg0r13RTIsH6s3MQ</vt:lpwstr>
  </property>
  <property fmtid="{D5CDD505-2E9C-101B-9397-08002B2CF9AE}" pid="551" name="[Nn6M0q2F0bRm3Q]0:0">
    <vt:lpwstr>NDUnNnAiOTUkODEkMT5pM6stH8IiNSBBZGRd2G-j0aFgIEN61q55TaV-ZGV9</vt:lpwstr>
  </property>
  <property fmtid="{D5CDD505-2E9C-101B-9397-08002B2CF9AE}" pid="552" name="[Nn-M0q2F0bRm3Q]0:0">
    <vt:lpwstr>NDUnNnAiOTUnND5nNn9qMlspH9N61q6G0GxrH9QnMRsxRDIsH7o9NmkoMDAiMDA3MQ</vt:lpwstr>
  </property>
  <property fmtid="{D5CDD505-2E9C-101B-9397-08002B2CF9AE}" pid="553" name="[ODBM0q2F0bRm3Q]0:0">
    <vt:lpwstr>NDUnNnAiOTUnN8ElMTElMRspH9N61q6G0GxrH9QnMRsrNDAkH7QrLDQkMCskMBsl</vt:lpwstr>
  </property>
  <property fmtid="{D5CDD505-2E9C-101B-9397-08002B2CF9AE}" pid="554" name="[ODFM0q2F0bRm3Q]0:0">
    <vt:lpwstr>NDUnNnAiOTUnNnU3ORsmL8Y5QqFn_CBB2aFd0GF70GU52Gw5UaVo_XJ-IER-YbQ</vt:lpwstr>
  </property>
  <property fmtid="{D5CDD505-2E9C-101B-9397-08002B2CF9AE}" pid="555" name="[ODJM0q2F0bRm3Q]0:0">
    <vt:lpwstr>NDUnNnAiOTUoOT1qODUlORspH9N61q6G0GxrH9QnM6skH7QkL8AkH8E</vt:lpwstr>
  </property>
  <property fmtid="{D5CDD505-2E9C-101B-9397-08002B2CF9AE}" pid="556" name="[ODNM0q2F0bRm3Q]0:0">
    <vt:lpwstr>NDUnNnAiOTUpMDElNT1oMRspH9N61q6G0GxrH9UnM6skH7QkL8AkH8E</vt:lpwstr>
  </property>
  <property fmtid="{D5CDD505-2E9C-101B-9397-08002B2CF9AE}" pid="557" name="[ODRM0q2F0bRm3Q]0:0">
    <vt:lpwstr>NDUnNnAiOTUpMD5lMDEsNRspH9N61q6G0GxrH9YnM6sxR8IqH7QrMDAiMDA3MQ</vt:lpwstr>
  </property>
  <property fmtid="{D5CDD505-2E9C-101B-9397-08002B2CF9AE}" pid="558" name="[ODVM0q2F0bRm3Q]0:0">
    <vt:lpwstr>NDUnNnAiOTUpMT1nN8ElMRspH9N61q6G0GxrH91nM8dJMnI3PU1mN6s9OSkpODAiMDA3MQ</vt:lpwstr>
  </property>
  <property fmtid="{D5CDD505-2E9C-101B-9397-08002B2CF9AE}" pid="559" name="[ODZM0q2F0bRm3Q]0:0">
    <vt:lpwstr>NDUnNnAiOTUpM8EtOTArNBstH8IiNmBDYXNcIHVnZWQ52Gw51aVo_XJ-IGR-YbQ</vt:lpwstr>
  </property>
  <property fmtid="{D5CDD505-2E9C-101B-9397-08002B2CF9AE}" pid="560" name="[OD2M0q2F0bRm3Q]0:0">
    <vt:lpwstr>NDUnNnAiOTUpOTAmNn1rOBspH9N61q6G0GxrH9QnMlsxRDMmH7QkL8AkH8E</vt:lpwstr>
  </property>
  <property fmtid="{D5CDD505-2E9C-101B-9397-08002B2CF9AE}" pid="561" name="[OD6M0q2F0bRm3Q]0:0">
    <vt:lpwstr>NDUnNnAiOTUpOTQtMD1oMRspH9N61q6G0GxrH9UnMndJMnM3PUUnM6s9MCskMBsl</vt:lpwstr>
  </property>
  <property fmtid="{D5CDD505-2E9C-101B-9397-08002B2CF9AE}" pid="562" name="[OD-M0q2F0bRm3Q]0:0">
    <vt:lpwstr>NDUnNnAiOTUqMD1qMn5sORstH8IiOCBM0qFiIEJ60GFiYqU</vt:lpwstr>
  </property>
  <property fmtid="{D5CDD505-2E9C-101B-9397-08002B2CF9AE}" pid="563" name="[OTBM0q2F0bRm3Q]0:0">
    <vt:lpwstr>NDUnNnAiOTUqMnYpNnQkNlspH9N61q6G0GxrH9UnMTdGMnE3NnQkMBs9NmkoMDAiMDA3MQ</vt:lpwstr>
  </property>
  <property fmtid="{D5CDD505-2E9C-101B-9397-08002B2CF9AE}" pid="564" name="[OTFM0q2F0bRm3Q]0:0">
    <vt:lpwstr>NDUnNnAiOTUqNDAkNDYnH8U3QqFn_EZg0r13RTMlO9YnMRs3H8E</vt:lpwstr>
  </property>
  <property fmtid="{D5CDD505-2E9C-101B-9397-08002B2CF9AE}" pid="565" name="[OTJM0q2F0bRm3Q]0:0">
    <vt:lpwstr>NDUnNnAiOTUqOTIlM89qMlspH9N61q6G0GxrH9QnNBsxRDMlLUQnMls9NmkoMDAiMDA3MQ</vt:lpwstr>
  </property>
  <property fmtid="{D5CDD505-2E9C-101B-9397-08002B2CF9AE}" pid="566" name="[OTNM0q2F0bRm3Q]0:0">
    <vt:lpwstr>NDUnNnAiOTUrNTInMTQsM6stH8IiOSBF0aRd0a15QqFn_CBCYWl60aN-</vt:lpwstr>
  </property>
  <property fmtid="{D5CDD505-2E9C-101B-9397-08002B2CF9AE}" pid="567" name="[OTRM0q2F0bRm3Q]0:0">
    <vt:lpwstr>NDUnNnAiOTUrODEmNRspH9N61q6G0GxrH9QnN6sxRDMmLUQnMls9MCskMBsl</vt:lpwstr>
  </property>
  <property fmtid="{D5CDD505-2E9C-101B-9397-08002B2CF9AE}" pid="568" name="[OTVM0q2F0bRm3Q]0:0">
    <vt:lpwstr>NDUnNnAiOTUrODUsNn9qMlspH9N61q6G0GxrH9UnN8dJMnY3PUUnM7pFMnM3JDAiMDA3MQ</vt:lpwstr>
  </property>
  <property fmtid="{D5CDD505-2E9C-101B-9397-08002B2CF9AE}" pid="569" name="[OTZM0q2F0bRm3Q]0:0">
    <vt:lpwstr>NDUnNnAiOTUsMD9kM81rOBstH8IiMTA5QaVb_Wti_WtbIEN61q55QaFgYWt8ZQ</vt:lpwstr>
  </property>
  <property fmtid="{D5CDD505-2E9C-101B-9397-08002B2CF9AE}" pid="570" name="[OT2M0q2F0bRm3Q]0:0">
    <vt:lpwstr>NDUnNnAiOTYkNTQnOT5lNRspH9N61q6G0GxrH9QnN6s3H8E</vt:lpwstr>
  </property>
  <property fmtid="{D5CDD505-2E9C-101B-9397-08002B2CF9AE}" pid="571" name="[OT6M0q2F0bRm3Q]0:0">
    <vt:lpwstr>NDUnNnAiOTYkNT1sNnAnNlspH9N61q6G0GxrH9UnN6s3H8E</vt:lpwstr>
  </property>
  <property fmtid="{D5CDD505-2E9C-101B-9397-08002B2CF9AE}" pid="572" name="[OT-M0q2F0bRm3Q]0:0">
    <vt:lpwstr>NDUnNnAiOTYkN8IpH8U3QqFn_EZg0r13R8MqH6s3MQ</vt:lpwstr>
  </property>
  <property fmtid="{D5CDD505-2E9C-101B-9397-08002B2CF9AE}" pid="573" name="[MTAkTGxbRWto1b9]0:0">
    <vt:lpwstr>NDUnNnAiOTYkN8UtNnImM6spH9N61q6G0GxrH91nN6s3H8E</vt:lpwstr>
  </property>
  <property fmtid="{D5CDD505-2E9C-101B-9397-08002B2CF9AE}" pid="574" name="[MTAlTGxbRWto1b9]0:0">
    <vt:lpwstr>NDUnNnAiOTYkN85mOD1kNBspH9N61q6G0GxrH95nN6s3H8E</vt:lpwstr>
  </property>
  <property fmtid="{D5CDD505-2E9C-101B-9397-08002B2CF9AE}" pid="575" name="[MTAmTGxbRWto1b9]0:0">
    <vt:lpwstr>NDUnNnAiOTYkNn9sN8ElMRspH9N61q6G0GxrH99nN6s3H8E</vt:lpwstr>
  </property>
  <property fmtid="{D5CDD505-2E9C-101B-9397-08002B2CF9AE}" pid="576" name="[MTAnTGxbRWto1b9]0:0">
    <vt:lpwstr>NDUnNnAiOTYkOD9lM8AnNlstH8IiOSBF0aRd0a15QqFn_CBCYWl60aN-</vt:lpwstr>
  </property>
  <property fmtid="{D5CDD505-2E9C-101B-9397-08002B2CF9AE}" pid="577" name="[MTAoTGxbRWto1b9]0:0">
    <vt:lpwstr>NDUnNnAiOTYkOTQtMD1oMRstH8IiOCBM0qFiIEJ60GFiYqU</vt:lpwstr>
  </property>
  <property fmtid="{D5CDD505-2E9C-101B-9397-08002B2CF9AE}" pid="578" name="[MTApTGxbRWto1b9]0:0">
    <vt:lpwstr>NDUnNnAiOTYkOT1mM8ImM6stH8IiNmBDYXNcIHVnZWQ52Gw51aVo_XJ-IGR-YbQ</vt:lpwstr>
  </property>
  <property fmtid="{D5CDD505-2E9C-101B-9397-08002B2CF9AE}" pid="579" name="[MTAqTGxbRWto1b9]0:0">
    <vt:lpwstr>NDUnNnAiOTYoN85rNRstH8IiN7BDYXNcIEFqYW-gYWJgZSBo0mBSZXRd1aU5RGV72A</vt:lpwstr>
  </property>
  <property fmtid="{D5CDD505-2E9C-101B-9397-08002B2CF9AE}" pid="580" name="[MTArTGxbRWto1b9]0:0">
    <vt:lpwstr>NDUnNnAiOTYoN89tMD1oMRstH8IiNSBBZGRd2G-j0aFgIEN61q55TaV-ZGV9</vt:lpwstr>
  </property>
  <property fmtid="{D5CDD505-2E9C-101B-9397-08002B2CF9AE}" pid="581" name="[MTAsTGxbRWto1b9]0:0">
    <vt:lpwstr>NDUnNnAiOTYoNnImM8ImM6stH8IiN7BDYXNcIEFqYW-gYWJgZSBo0mBSZXRd1aU5RGV72A</vt:lpwstr>
  </property>
  <property fmtid="{D5CDD505-2E9C-101B-9397-08002B2CF9AE}" pid="582" name="[MTAtTGxbRWto1b9]0:0">
    <vt:lpwstr>NDUnNnAiOTYpODYsMDUpN6stH8IiNmBDYXNcIHVnZWQ52Gw51aVo_XJ-IGR-YbQ</vt:lpwstr>
  </property>
  <property fmtid="{D5CDD505-2E9C-101B-9397-08002B2CF9AE}" pid="583" name="[MTEkTGxbRWto1b9]0:0">
    <vt:lpwstr>NDUnNnAiOTYqMnQmNT9mN6spH9N61q6G0GxrH9QnMls3H8E</vt:lpwstr>
  </property>
  <property fmtid="{D5CDD505-2E9C-101B-9397-08002B2CF9AE}" pid="584" name="[MTElTGxbRWto1b9]0:0">
    <vt:lpwstr>NDUnNnAiOTYqMnYpNnQkNlspH9N61q6G0GxrH9UnMls3H8E</vt:lpwstr>
  </property>
  <property fmtid="{D5CDD505-2E9C-101B-9397-08002B2CF9AE}" pid="585" name="[MTEmTGxbRWto1b9]0:0">
    <vt:lpwstr>NDUnNnAiOTYqMn1rMnEoOBspH9N61q6G0GxrH9YnMls3H8E</vt:lpwstr>
  </property>
  <property fmtid="{D5CDD505-2E9C-101B-9397-08002B2CF9AE}" pid="586" name="[MTEnTGxbRWto1b9]0:0">
    <vt:lpwstr>NDUnNnAiOTYqNDAkNDYnH8U3QqFn_EZg0r13RnMnH6s3MQ</vt:lpwstr>
  </property>
  <property fmtid="{D5CDD505-2E9C-101B-9397-08002B2CF9AE}" pid="587" name="[MTEoTGxbRWto1b9]0:0">
    <vt:lpwstr>NDUnNnAiOTYqNDEmMDMrH8U3QqFn_EZg0r13SDMnH6s3MQ</vt:lpwstr>
  </property>
  <property fmtid="{D5CDD505-2E9C-101B-9397-08002B2CF9AE}" pid="588" name="[MTEpTGxbRWto1b9]0:0">
    <vt:lpwstr>NDUnNnAiOTYqNDMpMT5pM6spH9N61q6G0GxrH99nMls3H8E</vt:lpwstr>
  </property>
  <property fmtid="{D5CDD505-2E9C-101B-9397-08002B2CF9AE}" pid="589" name="[MTEqTGxbRWto1b9]0:0">
    <vt:lpwstr>NDUnNnAiOTYqNDYtOTArNBspH9N61q6G0GxrH9QnNBs3H8E</vt:lpwstr>
  </property>
  <property fmtid="{D5CDD505-2E9C-101B-9397-08002B2CF9AE}" pid="590" name="[MTErTGxbRWto1b9]0:0">
    <vt:lpwstr>NDUnNnAiOT1pMDUrOD1kNBstH9-i1rRm2WNo_Wxi1k</vt:lpwstr>
  </property>
  <property fmtid="{D5CDD505-2E9C-101B-9397-08002B2CF9AE}" pid="591" name="[MTEsTGxbRWto1b9]0:0">
    <vt:lpwstr>NDUnNnAiOT1pMDUrOD1kNBstH8IiNmBDYXNcIHVnZWQ52Gw51aVo_XJ-IGR-YbQ</vt:lpwstr>
  </property>
  <property fmtid="{D5CDD505-2E9C-101B-9397-08002B2CF9AE}" pid="592" name="[MTEtTGxbRWto1b9]0:0">
    <vt:lpwstr>NDUnNnEiMn5rN85pMT5pM6stH9-i1rRm2WNo_Wxi1k</vt:lpwstr>
  </property>
  <property fmtid="{D5CDD505-2E9C-101B-9397-08002B2CF9AE}" pid="593" name="[MTIkTGxbRWto1b9]0:0">
    <vt:lpwstr>NDUnNnEiMn5rN85pMT5pM6stH8IiNmBDYXNcIHVnZWQ52Gw51aVo_XJ-IGR-YbQ</vt:lpwstr>
  </property>
  <property fmtid="{D5CDD505-2E9C-101B-9397-08002B2CF9AE}" pid="594" name="[MTIlTGxbRWto1b9]0:0">
    <vt:lpwstr>NDUnNnEiMn5sNTMkMD9mN6stH8IiN7BDYXNcIEFqYW-gYWJgZSBo0mBSZXRd1aU5RGV72A</vt:lpwstr>
  </property>
  <property fmtid="{D5CDD505-2E9C-101B-9397-08002B2CF9AE}" pid="595" name="[MTImTGxbRWto1b9]0:0">
    <vt:lpwstr>NDUnNnEiMn5sNTUnM8QkNlstH8IiNSBBZGRd2G-j0aFgIEN61q55TaV-ZGV9</vt:lpwstr>
  </property>
  <property fmtid="{D5CDD505-2E9C-101B-9397-08002B2CF9AE}" pid="596" name="[MTInTGxbRWto1b9]0:0">
    <vt:lpwstr>NDUnNnEiMn5tNnEkN8QsMRspH9N61q6G0GxrH9UnM6s3H8E</vt:lpwstr>
  </property>
  <property fmtid="{D5CDD505-2E9C-101B-9397-08002B2CF9AE}" pid="597" name="[MTIoTGxbRWto1b9]0:0">
    <vt:lpwstr>NDUnNnEiMn5tNnYsNTEsNRspH9N61q6G0GxrH99nM6s3H8E</vt:lpwstr>
  </property>
  <property fmtid="{D5CDD505-2E9C-101B-9397-08002B2CF9AE}" pid="598" name="[MTIpTGxbRWto1b9]0:0">
    <vt:lpwstr>NDUnNnEiMn5tNn9lN8YqNlspH9N61q6G0GxrH95nM6t1H-k3MQ</vt:lpwstr>
  </property>
  <property fmtid="{D5CDD505-2E9C-101B-9397-08002B2CF9AE}" pid="599" name="[MTIqTGxbRWto1b9]0:0">
    <vt:lpwstr>NDUnNnEiMn5tODIqMn5sORspH9N61q6G0GxrH91nM6s3H8E</vt:lpwstr>
  </property>
  <property fmtid="{D5CDD505-2E9C-101B-9397-08002B2CF9AE}" pid="600" name="[MTIrTGxbRWto1b9]0:0">
    <vt:lpwstr>NDUnNnEiMn5tODQtNTMrH8U3QqFn_EZg0r13SDMmH6s3MQ</vt:lpwstr>
  </property>
  <property fmtid="{D5CDD505-2E9C-101B-9397-08002B2CF9AE}" pid="601" name="[MTIsTGxbRWto1b9]0:0">
    <vt:lpwstr>NDUnNnEiMn5tOTArNDArNBspH9N61q6G0GxrH9YnM6s3H8E</vt:lpwstr>
  </property>
  <property fmtid="{D5CDD505-2E9C-101B-9397-08002B2CF9AE}" pid="602" name="[MTItTGxbRWto1b9]0:0">
    <vt:lpwstr>NDUnNnEiMn9lMDMkMD9mN6stH8IiNCBT_Gxm2GZ60Gk50rI5UrVm1Glp1k</vt:lpwstr>
  </property>
  <property fmtid="{D5CDD505-2E9C-101B-9397-08002B2CF9AE}" pid="603" name="[MTMkTGxbRWto1b9]0:0">
    <vt:lpwstr>NDUnNnEiMn9lMTQpODMnMlspH9N61q6G0GxrH9UsO9YsH8UkMDA3JDUgMDAkL8AkH8E</vt:lpwstr>
  </property>
  <property fmtid="{D5CDD505-2E9C-101B-9397-08002B2CF9AE}" pid="604" name="[MTMlTGxbRWto1b9]0:0">
    <vt:lpwstr>NDUnNnEiMn9lMTYsOT5lNRspH9N61q6G0GxrH9UsO9YsH6s3MQ</vt:lpwstr>
  </property>
  <property fmtid="{D5CDD505-2E9C-101B-9397-08002B2CF9AE}" pid="605" name="[MTMmTGxbRWto1b9]0:0">
    <vt:lpwstr>NDUnNnEiMn9lM8AnNnAnNlstH8IiMmBOZXQ5QqFn_CBG0Gxr1k</vt:lpwstr>
  </property>
  <property fmtid="{D5CDD505-2E9C-101B-9397-08002B2CF9AE}" pid="606" name="[MTMnTGxbRWto1b9]0:0">
    <vt:lpwstr>NDUnNnEiMn9lMnArOD1kNBstH8IiNCBT_Gxm2GZ60Gk50rI5UrVm1Glp1k</vt:lpwstr>
  </property>
  <property fmtid="{D5CDD505-2E9C-101B-9397-08002B2CF9AE}" pid="607" name="[MTMoTGxbRWto1b9]0:0">
    <vt:lpwstr>NDUnNnEiMn9lMnYpNnQkNlstH8IiNSBBZGRd2G-j0aFgIEN61q55TaV-ZGV9</vt:lpwstr>
  </property>
  <property fmtid="{D5CDD505-2E9C-101B-9397-08002B2CF9AE}" pid="608" name="[MTMpTGxbRWto1b9]0:0">
    <vt:lpwstr>NDUnNnEiMn9lNT1oMD1oMRstH8IiN7BDYXNcIEFqYW-gYWJgZSBo0mBSZXRd1aU5RGV72A</vt:lpwstr>
  </property>
  <property fmtid="{D5CDD505-2E9C-101B-9397-08002B2CF9AE}" pid="609" name="[MTMqTGxbRWto1b9]0:0">
    <vt:lpwstr>NDUnNnEiMn9mNDEsOT5lNRstH8IiNmBDYXNcIHVnZWQ52Gw51aVo_XJ-IGR-YbQ</vt:lpwstr>
  </property>
  <property fmtid="{D5CDD505-2E9C-101B-9397-08002B2CF9AE}" pid="610" name="[MTMrTGxbRWto1b9]0:0">
    <vt:lpwstr>NDUnNnEiMn9nNTYoODEoOBstH9-i1rRm2WNo_Wxi1k</vt:lpwstr>
  </property>
  <property fmtid="{D5CDD505-2E9C-101B-9397-08002B2CF9AE}" pid="611" name="[MTMsTGxbRWto1b9]0:0">
    <vt:lpwstr>NDUnNnEiMn9nNTYoODEoOBstH8IiNmBDYXNcIHVnZWQ52Gw51aVo_XJ-IGR-YbQ</vt:lpwstr>
  </property>
  <property fmtid="{D5CDD505-2E9C-101B-9397-08002B2CF9AE}" pid="612" name="[MTMtTGxbRWto1b9]0:0">
    <vt:lpwstr>NDUnNnEiMn9nNT5rOTYnH893M7ssIEljYWs5QaFgYWt8ZQ</vt:lpwstr>
  </property>
  <property fmtid="{D5CDD505-2E9C-101B-9397-08002B2CF9AE}" pid="613" name="[MTQkTGxbRWto1b9]0:0">
    <vt:lpwstr>NDUnNnEiMn9oMD5pN8QsMRspH9N61q6G0GxrH9QnMlsxRDMmH7QkL8AkH8E</vt:lpwstr>
  </property>
  <property fmtid="{D5CDD505-2E9C-101B-9397-08002B2CF9AE}" pid="614" name="[MTQlTGxbRWto1b9]0:0">
    <vt:lpwstr>NDUnNnEiMn9oMTQnNTEsNRspH9N61q6G0GxrH9QnNBsxRDMlH7QrLDQkMCskMBsl</vt:lpwstr>
  </property>
  <property fmtid="{D5CDD505-2E9C-101B-9397-08002B2CF9AE}" pid="615" name="[MTQmTGxbRWto1b9]0:0">
    <vt:lpwstr>NDUnNnEiMn9oN85rNRstH8IiOSBF0aRd0a15QqFn_CBCYWl60aN-</vt:lpwstr>
  </property>
  <property fmtid="{D5CDD505-2E9C-101B-9397-08002B2CF9AE}" pid="616" name="[MTQnTGxbRWto1b9]0:0">
    <vt:lpwstr>NDUnNnEiMn9rM8MnNn9qMlspH9N61q6G0GxrH9QnNBsxLUQmOBs9NmkoMDAiMDA3MQ</vt:lpwstr>
  </property>
  <property fmtid="{D5CDD505-2E9C-101B-9397-08002B2CF9AE}" pid="617" name="[MTQoTGxbRWto1b9]0:0">
    <vt:lpwstr>NDUnNnEiMn9sMTIpH893M7ssIEljYWs5QaFgYWt8ZQ</vt:lpwstr>
  </property>
  <property fmtid="{D5CDD505-2E9C-101B-9397-08002B2CF9AE}" pid="618" name="[MTQpTGxbRWto1b9]0:0">
    <vt:lpwstr>NDUnNnEiMn9sMTMqNT1oMRstH8IiOSBF0aRd0a15QqFn_CBCYWl60aN-</vt:lpwstr>
  </property>
  <property fmtid="{D5CDD505-2E9C-101B-9397-08002B2CF9AE}" pid="619" name="[MTQqTGxbRWto1b9]0:0">
    <vt:lpwstr>NDUnNnEiMn9sOTEmMDMrH8U3QqFn_EZg0r13RDMqH8pEMnIhRDMnH7QkL8AkH8E</vt:lpwstr>
  </property>
  <property fmtid="{D5CDD505-2E9C-101B-9397-08002B2CF9AE}" pid="620" name="[MTQrTGxbRWto1b9]0:0">
    <vt:lpwstr>NDUnNnEiMn9sOTUsMnMnMlstH8IiMTA5QaVb_Wti_WtbIEN61q55QaFgYWt8ZQ</vt:lpwstr>
  </property>
  <property fmtid="{D5CDD505-2E9C-101B-9397-08002B2CF9AE}" pid="621" name="[MTQsTGxbRWto1b9]0:0">
    <vt:lpwstr>NDUnNnEiMn9tM81kODMnMlspH9N61q6G0GxrH9UsH8pEMnY3JDAiMDA3MQ</vt:lpwstr>
  </property>
  <property fmtid="{D5CDD505-2E9C-101B-9397-08002B2CF9AE}" pid="622" name="[MTQtTGxbRWto1b9]0:0">
    <vt:lpwstr>NDUnNnEiMn9tMnIsNnAnNlstH8IiMTE5TGx607BJ0bR-1aVn2A</vt:lpwstr>
  </property>
  <property fmtid="{D5CDD505-2E9C-101B-9397-08002B2CF9AE}" pid="623" name="[MTUkTGxbRWto1b9]0:0">
    <vt:lpwstr>NDUnNnEiMn9tNn9lN8YqNlspH9N61q6G0GxrH9QlNlsxRDMoK9MnH7QlMTIiN893MQ</vt:lpwstr>
  </property>
  <property fmtid="{D5CDD505-2E9C-101B-9397-08002B2CF9AE}" pid="624" name="[MTUlTGxbRWto1b9]0:0">
    <vt:lpwstr>NDUnNnEiNDAkM8UoN8ItN6stH8IiMTI5TG-iZSBjZ7BD1aV9_XQ</vt:lpwstr>
  </property>
  <property fmtid="{D5CDD505-2E9C-101B-9397-08002B2CF9AE}" pid="625" name="[MTUmTGxbRWto1b9]0:0">
    <vt:lpwstr>NDUnNnEiNDAkODYsMDUpN6spH9N61q6G0GxrH9QnMRsxLUQmOBs9NmkpMTIiN893MQ</vt:lpwstr>
  </property>
  <property fmtid="{D5CDD505-2E9C-101B-9397-08002B2CF9AE}" pid="626" name="[MTUnTGxbRWto1b9]0:0">
    <vt:lpwstr>NDUnNnEiNDAlMTYsOT5lNRstH9N-0Glp0GFmIENj0bR-3HQ</vt:lpwstr>
  </property>
  <property fmtid="{D5CDD505-2E9C-101B-9397-08002B2CF9AE}" pid="627" name="[MTUoTGxbRWto1b9]0:0">
    <vt:lpwstr>NDUnNnEiNDAlM8AnNnAnNlstH8IiMTI5TG-iZSBjZ7BD1aV9_XQ</vt:lpwstr>
  </property>
  <property fmtid="{D5CDD505-2E9C-101B-9397-08002B2CF9AE}" pid="628" name="[MTUpTGxbRWto1b9]0:0">
    <vt:lpwstr>NDUnNnEiNDAlMnUoMTYqNlspH9N61q6G0GxrH9YsO91sH8pFMnY3JDAiMDA3MQ</vt:lpwstr>
  </property>
  <property fmtid="{D5CDD505-2E9C-101B-9397-08002B2CF9AE}" pid="629" name="[MTUqTGxbRWto1b9]0:0">
    <vt:lpwstr>NDUnNnEiNDAlNDQqNnUtMlspH9N61q6G0GxrH95sH8pHMnY3JDAiMDA3MQ</vt:lpwstr>
  </property>
  <property fmtid="{D5CDD505-2E9C-101B-9397-08002B2CF9AE}" pid="630" name="[MTUrTGxbRWto1b9]0:0">
    <vt:lpwstr>NDUnNnEiNDAlN8YqN8YqNlspH9N61q6G0GxrH9UmOBsxRTIqH7o9MTAgNnAkL8AkH8E</vt:lpwstr>
  </property>
  <property fmtid="{D5CDD505-2E9C-101B-9397-08002B2CF9AE}" pid="631" name="[MTUsTGxbRWto1b9]0:0">
    <vt:lpwstr>NDUnNnEiNDAlNnEmOTYnH8U3QqFn_EZg0r13R8IsO99mOBsxR8IqH7QrMDAiMDA3MQ</vt:lpwstr>
  </property>
  <property fmtid="{D5CDD505-2E9C-101B-9397-08002B2CF9AE}" pid="632" name="[MTUtTGxbRWto1b9]0:0">
    <vt:lpwstr>NDUnNnEiNDAmMn9pODMnMlspH9N61q6G0GxrH9UnMRsxLUUmOBs9MTAgNnAkL8AkH8E</vt:lpwstr>
  </property>
  <property fmtid="{D5CDD505-2E9C-101B-9397-08002B2CF9AE}" pid="633" name="[MTYkTGxbRWto1b9]0:0">
    <vt:lpwstr>NDUnNnEiNDAmNDEsOT5lNRspH9N61q6G0GxrH9YnMRskH7QkL8AkH8E</vt:lpwstr>
  </property>
  <property fmtid="{D5CDD505-2E9C-101B-9397-08002B2CF9AE}" pid="634" name="[MTYlTGxbRWto1b9]0:0">
    <vt:lpwstr>NDUnNnEiNDAmND1qODUlORspH9N61q6G0GxrH91nMRskXBskXBsl</vt:lpwstr>
  </property>
  <property fmtid="{D5CDD505-2E9C-101B-9397-08002B2CF9AE}" pid="635" name="[MTYmTGxbRWto1b9]0:0">
    <vt:lpwstr>NDUnNnEiNDAmNTMoNnImM6spH9N61q6G0GxrH91nMRskH7QkL8AkH8E</vt:lpwstr>
  </property>
  <property fmtid="{D5CDD505-2E9C-101B-9397-08002B2CF9AE}" pid="636" name="[MTYnTGxbRWto1b9]0:0">
    <vt:lpwstr>NDUnNnEiNDAmNTUrOD1kNBspH9N61q6G0GxrH95nMRskH7QkL8AkH8E</vt:lpwstr>
  </property>
  <property fmtid="{D5CDD505-2E9C-101B-9397-08002B2CF9AE}" pid="637" name="[MTYoTGxbRWto1b9]0:0">
    <vt:lpwstr>NDUnNnEiNDAmNTYtNDQoNBspH9N61q6G0GxrH99nMRskH7QkL8AkH8E</vt:lpwstr>
  </property>
  <property fmtid="{D5CDD505-2E9C-101B-9397-08002B2CF9AE}" pid="638" name="[MTYpTGxbRWto1b9]0:0">
    <vt:lpwstr>NDUnNnEiNDAmODMpN8QsM6spH9N61q6G0GxrH9UnM6sxRTIsH7o9MTAgNnAkL8AkH8E</vt:lpwstr>
  </property>
  <property fmtid="{D5CDD505-2E9C-101B-9397-08002B2CF9AE}" pid="639" name="[MTYqTGxbRWto1b9]0:0">
    <vt:lpwstr>NDUnNnEiNDAmOT5qMTElMRspH9N61q6G0GxrH9YnM8dHMnI3PUYmOBs9NnAkL8AkH8E</vt:lpwstr>
  </property>
  <property fmtid="{D5CDD505-2E9C-101B-9397-08002B2CF9AE}" pid="640" name="[MTYrTGxbRWto1b9]0:0">
    <vt:lpwstr>NDUnNnEiNDAnNTYoODEoOBspH9N61q6G0GxrH9UnM6skH7QkL8AkH8E</vt:lpwstr>
  </property>
  <property fmtid="{D5CDD505-2E9C-101B-9397-08002B2CF9AE}" pid="641" name="[MTYsTGxbRWto1b9]0:0">
    <vt:lpwstr>NDUnNnEiNDAnNT9tNTMrH8U3QqFn_EZg0r13SDMmO99nM6sxSDIsH7QlMmkpNDAiMDA3MQ</vt:lpwstr>
  </property>
  <property fmtid="{D5CDD505-2E9C-101B-9397-08002B2CF9AE}" pid="642" name="[MTYtTGxbRWto1b9]0:0">
    <vt:lpwstr>NDUnNnEiNDAnOTQqNnUtMlspH9N61q6G0GxrH9UnMlskH7QkL8AkH8E</vt:lpwstr>
  </property>
  <property fmtid="{D5CDD505-2E9C-101B-9397-08002B2CF9AE}" pid="643" name="[MT1kTGxbRWto1b9]0:0">
    <vt:lpwstr>NDUnNnEiNDAoOD1mN85pM6spH9N61q6G0GxrH99sH8QtM89iND53JDQgOTItL8QsH8E</vt:lpwstr>
  </property>
  <property fmtid="{D5CDD505-2E9C-101B-9397-08002B2CF9AE}" pid="644" name="[MT1lTGxbRWto1b9]0:0">
    <vt:lpwstr>NDUnNnEiNDApM8YqM8AnNlspH9N61q6G0GxrH9MpH8EsND9kL8AoH7QlOCkoOTAiMDQ3MQ</vt:lpwstr>
  </property>
  <property fmtid="{D5CDD505-2E9C-101B-9397-08002B2CF9AE}" pid="645" name="[MT1mTGxbRWto1b9]0:0">
    <vt:lpwstr>NDUnNnEiNDApNT9kM81rOBspH9N61q6G0GxrH9UlNlsxRTMoK9QnH7QkL8AkH8E</vt:lpwstr>
  </property>
  <property fmtid="{D5CDD505-2E9C-101B-9397-08002B2CF9AE}" pid="646" name="[MT1nTGxbRWto1b9]0:0">
    <vt:lpwstr>NDUnNnEiNDApN8IpH8U3QqFn_EZg0r13RTErH6s3MQ</vt:lpwstr>
  </property>
  <property fmtid="{D5CDD505-2E9C-101B-9397-08002B2CF9AE}" pid="647" name="[MT1oTGxbRWto1b9]0:0">
    <vt:lpwstr>NDUnNnEiNDApOTYkN8QsMRspH9N61q6G0GxrH9UnNDdJMnQ3PSpFM853JDEkLD1kMCskMBsl</vt:lpwstr>
  </property>
  <property fmtid="{D5CDD505-2E9C-101B-9397-08002B2CF9AE}" pid="648" name="[MT1pTGxbRWto1b9]0:0">
    <vt:lpwstr>NDUnNnEiNDAqM8AnNnAnNlspH9N61q6G0GxrH99nNBs3H8E</vt:lpwstr>
  </property>
  <property fmtid="{D5CDD505-2E9C-101B-9397-08002B2CF9AE}" pid="649" name="[MT1qTGxbRWto1b9]0:0">
    <vt:lpwstr>NDUnNnEiNDAqNTYmNRspH9N61q6G0GxrH95nNBskH7QkL8AkH8E</vt:lpwstr>
  </property>
  <property fmtid="{D5CDD505-2E9C-101B-9397-08002B2CF9AE}" pid="650" name="[MT1rTGxbRWto1b9]0:0">
    <vt:lpwstr>NDUnNnEiNDAqN8AsNn9qMlspH9N61q6G0GxrH99nNBskH7QkL8AkH8E</vt:lpwstr>
  </property>
  <property fmtid="{D5CDD505-2E9C-101B-9397-08002B2CF9AE}" pid="651" name="[MT1sTGxbRWto1b9]0:0">
    <vt:lpwstr>NDUnNnEiNDAqODYnNDIpORspH9N61q6G0GxrH91nNBssN8EkL8ElH7QsLDYlMCslMRsl</vt:lpwstr>
  </property>
  <property fmtid="{D5CDD505-2E9C-101B-9397-08002B2CF9AE}" pid="652" name="[MT1tTGxbRWto1b9]0:0">
    <vt:lpwstr>NDUnNnEiNDArMDIpNDYnH8U3QqFn_EZg0r13R8MoH8EsMDYkL89qH7QlOCkkN8AiOTY3MQ</vt:lpwstr>
  </property>
  <property fmtid="{D5CDD505-2E9C-101B-9397-08002B2CF9AE}" pid="653" name="[MT5kTGxbRWto1b9]0:0">
    <vt:lpwstr>NDUnNnEiNDArMn1mN85pM6spH9N61q6G0GxrH9UnNBslODQtMCskNBs9MT5gND9kL8AoH8E</vt:lpwstr>
  </property>
  <property fmtid="{D5CDD505-2E9C-101B-9397-08002B2CF9AE}" pid="654" name="[MT5lTGxbRWto1b9]0:0">
    <vt:lpwstr>NDUnNnEiNDArNTQqM89qMlspH9N61q6G0GxrH9QnNBsrNTEmL8YtH7QrLDUlM7sqORsl</vt:lpwstr>
  </property>
  <property fmtid="{D5CDD505-2E9C-101B-9397-08002B2CF9AE}" pid="655" name="[MT5mTGxbRWto1b9]0:0">
    <vt:lpwstr>NDUnNnEiNDArNnQnMDUpN6spH9N61q6G0GxrH9UmNDdKM8Q3PVNVTS6FMTYuRTInKRs9MTErLD1kMCskMBsl</vt:lpwstr>
  </property>
  <property fmtid="{D5CDD505-2E9C-101B-9397-08002B2CF9AE}" pid="656" name="[MT5nTGxbRWto1b9]0:0">
    <vt:lpwstr>NDUnNnEiNDArODMpN8QsMRspH9N61q6G0GxrH9cmNBs3H8E</vt:lpwstr>
  </property>
  <property fmtid="{D5CDD505-2E9C-101B-9397-08002B2CF9AE}" pid="657" name="[MT5oTGxbRWto1b9]0:0">
    <vt:lpwstr>NDUnNnEiNDArOD1kMn1kNBspH9N61q6G0GxrH9UmN8dJM8Y3PS6FMTMhRTIoKRshJDEkLD1kMCskMBsl</vt:lpwstr>
  </property>
  <property fmtid="{D5CDD505-2E9C-101B-9397-08002B2CF9AE}" pid="658" name="[MT5pTGxbRWto1b9]0:0">
    <vt:lpwstr>NDUnNnEiNDAsMT9oNDQoNBspH9N61q6G0GxrH95nMlsxRnMoH7QsLDYlMCslMRsl</vt:lpwstr>
  </property>
  <property fmtid="{D5CDD505-2E9C-101B-9397-08002B2CF9AE}" pid="659" name="[MT5qTGxbRWto1b9]0:0">
    <vt:lpwstr>NDUnNnEiNDAsM89sN8ElMRspH9N61q6G0GxrH91nMlsxRnMmH7QtLDUsMCskMBsl</vt:lpwstr>
  </property>
  <property fmtid="{D5CDD505-2E9C-101B-9397-08002B2CF9AE}" pid="660" name="[MT5rTGxbRWto1b9]0:0">
    <vt:lpwstr>NDUnNnEiNDAsNT1qMn5sORspH9N61q6G0GxrH9YmN6soM89iMD93JDQmOSskORsl</vt:lpwstr>
  </property>
  <property fmtid="{D5CDD505-2E9C-101B-9397-08002B2CF9AE}" pid="661" name="[MT5sTGxbRWto1b9]0:0">
    <vt:lpwstr>NDUnNnEiNDAsNnAnNnAnNlspH9N61q6G0GxrH9YnMlsxR8MmH7QoM89iMD93MQ</vt:lpwstr>
  </property>
  <property fmtid="{D5CDD505-2E9C-101B-9397-08002B2CF9AE}" pid="662" name="[MT5tTGxbRWto1b9]0:0">
    <vt:lpwstr>NDUnNnEiNDAtMD1oMD1oMRspH9N61q6G0GxrH99nM6smMTEqOSssORs9M8EgMTYtL85tH8E</vt:lpwstr>
  </property>
  <property fmtid="{D5CDD505-2E9C-101B-9397-08002B2CF9AE}" pid="663" name="[MT9kTGxbRWto1b9]0:0">
    <vt:lpwstr>NDUnNnEiNDAtMTIkMn1kNBspH9N61q6G0GxrH99nMlskH7QkL8AkH8E</vt:lpwstr>
  </property>
  <property fmtid="{D5CDD505-2E9C-101B-9397-08002B2CF9AE}" pid="664" name="[MT9lTGxbRWto1b9]0:0">
    <vt:lpwstr>NDUnNnEiNDAtM8AlMn5sORspH9N61q6G0GxrH9UnN6skH7QkL8AkH8E</vt:lpwstr>
  </property>
  <property fmtid="{D5CDD505-2E9C-101B-9397-08002B2CF9AE}" pid="665" name="[MT9mTGxbRWto1b9]0:0">
    <vt:lpwstr>NDUnNnEiNDAtM8UtM8UtMlspH9N61q6G0GxrH9YnN6skH7QkL8AkH8E</vt:lpwstr>
  </property>
  <property fmtid="{D5CDD505-2E9C-101B-9397-08002B2CF9AE}" pid="666" name="[MT9nTGxbRWto1b9]0:0">
    <vt:lpwstr>NDUnNnEiNDAtM89nOT5lNRspH9N61q6G0GxrH91nN6skH7QkL8AkH8E</vt:lpwstr>
  </property>
  <property fmtid="{D5CDD505-2E9C-101B-9397-08002B2CF9AE}" pid="667" name="[MT9oTGxbRWto1b9]0:0">
    <vt:lpwstr>NDUnNnEiNDAtNTEnOD5sORspH9N61q6G0GxrH95nN6soOTItL85tH7QoLD9mOSssORsl</vt:lpwstr>
  </property>
  <property fmtid="{D5CDD505-2E9C-101B-9397-08002B2CF9AE}" pid="668" name="[MT9pTGxbRWto1b9]0:0">
    <vt:lpwstr>NDUnNnEiNDAtN8ItN8ItN6spH9N61q6G0GxrH99nN6smMTEqOT5tH7QmLDElN7ktOD9iMDA3MQ</vt:lpwstr>
  </property>
  <property fmtid="{D5CDD505-2E9C-101B-9397-08002B2CF9AE}" pid="669" name="[MT9qTGxbRWto1b9]0:0">
    <vt:lpwstr>NDUnNnEiNDAtNnImM8ImM6stH9N-0Glp0GFmIENj0bR-3HQ</vt:lpwstr>
  </property>
  <property fmtid="{D5CDD505-2E9C-101B-9397-08002B2CF9AE}" pid="670" name="[MT9rTGxbRWto1b9]0:0">
    <vt:lpwstr>NDUnNnEiNDEkM8AsMnMnMlstH8MiMSBD0qpk0GVoZSA7VqV-_qR63SxEYX-o_Wp-I5</vt:lpwstr>
  </property>
  <property fmtid="{D5CDD505-2E9C-101B-9397-08002B2CF9AE}" pid="671" name="[MT9sTGxbRWto1b9]0:0">
    <vt:lpwstr>NDUnNnEiNDElMD5rOTYnH8U3QqFg0HM3SDM3PUNPVUtUSUYcR8MuRnMgICJtZXM7KRsmH8E</vt:lpwstr>
  </property>
  <property fmtid="{D5CDD505-2E9C-101B-9397-08002B2CF9AE}" pid="672" name="[MT9tTGxbRWto1b9]0:0">
    <vt:lpwstr>NDUnNnEiNDElOTQoNDQoNBspH9N60GlnH95nH8pd_Bs8T9FNRTw3MQ</vt:lpwstr>
  </property>
  <property fmtid="{D5CDD505-2E9C-101B-9397-08002B2CF9AE}" pid="673" name="[M8AkTGxbRWto1b9]0:0">
    <vt:lpwstr>NDUnNnEiNDEmND1qODUlORspH9N60GlnH95nH8pJR76GMndHMmk73WVnI7k70aw7KRs8V9FMVUU6H8E</vt:lpwstr>
  </property>
  <property fmtid="{D5CDD505-2E9C-101B-9397-08002B2CF9AE}" pid="674" name="[M8AlTGxbRWto1b9]0:0">
    <vt:lpwstr>NDUnNnEiNDEmN8UkNDYnH8U3QqFg0HM3SDM3PU-GKEYnO91nPX--1mk73WVnI7k70aw7KRs8T9FNRTw3MQ</vt:lpwstr>
  </property>
  <property fmtid="{D5CDD505-2E9C-101B-9397-08002B2CF9AE}" pid="675" name="[M8AmTGxbRWto1b9]0:0">
    <vt:lpwstr>NDUnNnEiNDEmNnMlND5lNRspH9N60GlnH95nH6s3MQ</vt:lpwstr>
  </property>
  <property fmtid="{D5CDD505-2E9C-101B-9397-08002B2CF9AE}" pid="676" name="[M8AnTGxbRWto1b9]0:0">
    <vt:lpwstr>NDUnNnEiNDIlM89qM89qMlspH9N60GlnH95nH8pJR76GMndHMno73WVnI7k73WVnI7k70aw7KRttZXM3MQ</vt:lpwstr>
  </property>
  <property fmtid="{D5CDD505-2E9C-101B-9397-08002B2CF9AE}" pid="677" name="[M8AoTGxbRWto1b9]0:0">
    <vt:lpwstr>NDUnNnEiNDIlMnYpNnQkNlspH9N60GlnH95oO95lN6sxSUYcR8QuRnQxIb--1mIgIb--1mIgIatjI7933WVnH8E</vt:lpwstr>
  </property>
  <property fmtid="{D5CDD505-2E9C-101B-9397-08002B2CF9AE}" pid="678" name="[M8ApTGxbRWto1b9]0:0">
    <vt:lpwstr>NDUnNnEiNDIlNDQqNnUtMlspH9N60GlnH99nH6ttZXM3MQ</vt:lpwstr>
  </property>
  <property fmtid="{D5CDD505-2E9C-101B-9397-08002B2CF9AE}" pid="679" name="[M8AqTGxbRWto1b9]0:0">
    <vt:lpwstr>NDUnNnEiNDIlNTAoN8ItN6spH9N60GlnH99nH6ttZXM3MQ</vt:lpwstr>
  </property>
  <property fmtid="{D5CDD505-2E9C-101B-9397-08002B2CF9AE}" pid="680" name="[M8ArTGxbRWto1b9]0:0">
    <vt:lpwstr>NDUnNnEiNDIlNTEqM8AnNlspH9N60GlnH95oO95lN6s3H8E</vt:lpwstr>
  </property>
  <property fmtid="{D5CDD505-2E9C-101B-9397-08002B2CF9AE}" pid="681" name="[M8AsTGxbRWto1b9]0:0">
    <vt:lpwstr>NDUnNnEiNDIlNTMtMnUlORspH9N60GlnH95nH6s3MQ</vt:lpwstr>
  </property>
  <property fmtid="{D5CDD505-2E9C-101B-9397-08002B2CF9AE}" pid="682" name="[M8AtTGxbRWto1b9]0:0">
    <vt:lpwstr>NDUnNnEiNDImMn1mN85pM6spH9N60GlnH95nH8pJR76GMndHMno73WVnI7kdH8A3MQ</vt:lpwstr>
  </property>
  <property fmtid="{D5CDD505-2E9C-101B-9397-08002B2CF9AE}" pid="683" name="[M8EkTGxbRWto1b9]0:0">
    <vt:lpwstr>NDUnNnEiNDImNTQqM89qMlspH9N60GlnH99nH6skL8AkH8E</vt:lpwstr>
  </property>
  <property fmtid="{D5CDD505-2E9C-101B-9397-08002B2CF9AE}" pid="684" name="[M8ElTGxbRWto1b9]0:0">
    <vt:lpwstr>NDUnNnEiNDInMnIlNnUtMlspH9N60GlnH95nH8pJR76GMndHMno73WVnI7k73WVnLCIdHb--1mk3MQ</vt:lpwstr>
  </property>
  <property fmtid="{D5CDD505-2E9C-101B-9397-08002B2CF9AE}" pid="685" name="[M8EmTGxbRWto1b9]0:0">
    <vt:lpwstr>NDUnNnEiNDInNTUnM8QkNlspH9N60GlnH95nH8pJR76GMndHMno73WVnI7k7WWVnI7k5I9tjI793WWVnH8E</vt:lpwstr>
  </property>
  <property fmtid="{D5CDD505-2E9C-101B-9397-08002B2CF9AE}" pid="686" name="[M8EnTGxbRWto1b9]0:0">
    <vt:lpwstr>NDUnNnEiNDInN8ElMTElMRspH9N60GlnH99nH6tZZXM3MQ</vt:lpwstr>
  </property>
  <property fmtid="{D5CDD505-2E9C-101B-9397-08002B2CF9AE}" pid="687" name="[M8EoTGxbRWto1b9]0:0">
    <vt:lpwstr>NDUnNnEiNDInNnU3NRtDYWlg1ltINDdINTUoH8pJR76GNDdHNDo73WVnI7k7WWVnI7k5I9tjI793WWVnH8E</vt:lpwstr>
  </property>
  <property fmtid="{D5CDD505-2E9C-101B-9397-08002B2CF9AE}" pid="688" name="[M8EpTGxbRWto1b9]0:0">
    <vt:lpwstr>NDUnNnEiNDInODYpNnQkNlstH8MiM7BD0qpk0GVoZSA7VG-hZSBD_GFmZqV9I5</vt:lpwstr>
  </property>
  <property fmtid="{D5CDD505-2E9C-101B-9397-08002B2CF9AE}" pid="689" name="[M8EqTGxbRWto1b9]0:0">
    <vt:lpwstr>NDUnNnEiNDIoMn1pH8U3QqFg0HM3STM3PVJPVUtEVVAcRTMgMC93M7skMBsl</vt:lpwstr>
  </property>
  <property fmtid="{D5CDD505-2E9C-101B-9397-08002B2CF9AE}" pid="690" name="[M8ErTGxbRWto1b9]0:0">
    <vt:lpwstr>NDUnNnEiNDIpMTMsOD5sORspH9N60GlnH95nH6s3MQ</vt:lpwstr>
  </property>
  <property fmtid="{D5CDD505-2E9C-101B-9397-08002B2CF9AE}" pid="691" name="[M8EsTGxbRWto1b9]0:0">
    <vt:lpwstr>NDUnNnEiNDIpMT1nN8ElMRspH9N60GlnH95nH8pJR76GMno73WVnI7k7WWVnI7k5I9tjI793WWVnH8E</vt:lpwstr>
  </property>
  <property fmtid="{D5CDD505-2E9C-101B-9397-08002B2CF9AE}" pid="692" name="[M8EtTGxbRWto1b9]0:0">
    <vt:lpwstr>NDUnNnEiNDIpM8AsMnMnMlspH9N60GlnH95nH6s3MQ</vt:lpwstr>
  </property>
  <property fmtid="{D5CDD505-2E9C-101B-9397-08002B2CF9AE}" pid="693" name="[M8IkTGxbRWto1b9]0:0">
    <vt:lpwstr>NDUnNnEiNDIqMD1qMn5sORspH9N60GlnH95nH8pJR76GMno73WVnI7k7WWVnI7k5I9tjI793WWVnH8E</vt:lpwstr>
  </property>
  <property fmtid="{D5CDD505-2E9C-101B-9397-08002B2CF9AE}" pid="694" name="[M8IlTGxbRWto1b9]0:0">
    <vt:lpwstr>NDUnNnEiNDIqMTImN85pM6spH9N60GlnH99oO99sH8pSTpVORFVQKEUoLDAdH8MiMDA3MQ</vt:lpwstr>
  </property>
  <property fmtid="{D5CDD505-2E9C-101B-9397-08002B2CF9AE}" pid="695" name="[M8ImTGxbRWto1b9]0:0">
    <vt:lpwstr>NDUnNnEiNDIrNnEtOTArNBspH9N60GlnH95oH6s3MQ</vt:lpwstr>
  </property>
  <property fmtid="{D5CDD505-2E9C-101B-9397-08002B2CF9AE}" pid="696" name="[M8InTGxbRWto1b9]0:0">
    <vt:lpwstr>NDUnNnEiNDIrOD1kMn1kNBspH9N60GlnH95oH8pJR76GMno73WVnI7k7WWVnI7k5I9tjI793WWVnH8E</vt:lpwstr>
  </property>
  <property fmtid="{D5CDD505-2E9C-101B-9397-08002B2CF9AE}" pid="697" name="[M8IoTGxbRWto1b9]0:0">
    <vt:lpwstr>NDUnNnEiNDIrOT1oNTMrH8U3QqFg0HM3SDQ3H6sl</vt:lpwstr>
  </property>
  <property fmtid="{D5CDD505-2E9C-101B-9397-08002B2CF9AE}" pid="698" name="[M8IpTGxbRWto1b9]0:0">
    <vt:lpwstr>NDUnNnEiNDIsNT9tNTMrH8U3QqFg0HM3SDQ3PU-GUm6GNDo7WWVnI7k73WVnI7lHNDo73WVnI7k73WVnI7933WVnH8E</vt:lpwstr>
  </property>
  <property fmtid="{D5CDD505-2E9C-101B-9397-08002B2CF9AE}" pid="699" name="[M8IqTGxbRWto1b9]0:0">
    <vt:lpwstr>NDUnNnEiNDIsNnEpM81rOBspH9N60GlnH95oH8pJR-McR8QxI---1mIgI---1mIgRnQxIb--1mIgI---1mIdH---1lsl</vt:lpwstr>
  </property>
  <property fmtid="{D5CDD505-2E9C-101B-9397-08002B2CF9AE}" pid="700" name="[M8IrTGxbRWto1b9]0:0">
    <vt:lpwstr>NDUnNnEiNDIsNnU3NRtDYWlg1ltINTdIOBsxSUZTKEYpPSJZZXM7LCJZZXM7LE1pPSJtZXM7LCJZZXM7KRtZZXM3MQ</vt:lpwstr>
  </property>
  <property fmtid="{D5CDD505-2E9C-101B-9397-08002B2CF9AE}" pid="701" name="[M8IsTGxbRWto1b9]0:0">
    <vt:lpwstr>NDUnNnEiNDIsODYpNnQkNlspH9N60GlnH95tO95pNTQ3PU-GUm6GOTo7WWVnI7k7WWVnI7lHOTo73WVnI7k7WWVnI793WWVnH8E</vt:lpwstr>
  </property>
  <property fmtid="{D5CDD505-2E9C-101B-9397-08002B2CF9AE}" pid="702" name="[M8ItTGxbRWto1b9]0:0">
    <vt:lpwstr>NDUnNnEiNDItOT5sNDIpORspH9N60GlnH95lMD13PU-GUm6GMTArPSJZZXM7LCJZZXM7LE1lMD1xIb--1mIgI---1mIdH7NOLoE3MQ</vt:lpwstr>
  </property>
  <property fmtid="{D5CDD505-2E9C-101B-9397-08002B2CF9AE}" pid="703" name="[M8MkTGxbRWto1b9]0:0">
    <vt:lpwstr>NDUnNnEiNDMlM8AnNnAnNlspH9N60GlnH95nH8pJR76BT9QcR8MxI---1mIgRnMxI---1mIdLCJZZXM7LCJO0mIdH---1lsl</vt:lpwstr>
  </property>
  <property fmtid="{D5CDD505-2E9C-101B-9397-08002B2CF9AE}" pid="704" name="[M8MlTGxbRWto1b9]0:0">
    <vt:lpwstr>NDUnNnEiNDMlMnYpNnQkNlspH9N60GlnH95oO95pNTQ3PU-GKEFORC6GNDo7WWVnI7lHNDo7WWVnI79gI---1mIgI9tjI793WWVnH8E</vt:lpwstr>
  </property>
  <property fmtid="{D5CDD505-2E9C-101B-9397-08002B2CF9AE}" pid="705" name="[M8MmTGxbRWto1b9]0:0">
    <vt:lpwstr>NDUnNnEiNDMlND9nMDUpN6spH9N60GlnH99tO99lM6sxU9xVT9RVUC6FOSkkKRsmL8AkH8E</vt:lpwstr>
  </property>
  <property fmtid="{D5CDD505-2E9C-101B-9397-08002B2CF9AE}" pid="706" name="[M8MnTGxbRWto1b9]0:0">
    <vt:lpwstr>NDUnNnEiNDMlNnQrN85pM6spH9N60GlnH99lMndJNTUoH8pSTpVORFVQKEUlMmkkKRsmL8AkH8E</vt:lpwstr>
  </property>
  <property fmtid="{D5CDD505-2E9C-101B-9397-08002B2CF9AE}" pid="707" name="[M8MoTGxbRWto1b9]0:0">
    <vt:lpwstr>NDUnNnEiNDMlNn9nOT5lNRstH8MiMmBDYWl82Wl62GU5VqV-_qR63SBEYX-o_Wp-IEpd0bVoZXM</vt:lpwstr>
  </property>
  <property fmtid="{D5CDD505-2E9C-101B-9397-08002B2CF9AE}" pid="708" name="[M8MpTGxbRWto1b9]0:0">
    <vt:lpwstr>NDUnNnEiNDMoM89nOT5lNRspH9N-0Glp0GFmH9YoH8pTVUocQqFg0HM6STMuSTUpNC93MT1kN7skMBsl</vt:lpwstr>
  </property>
  <property fmtid="{D5CDD505-2E9C-101B-9397-08002B2CF9AE}" pid="709" name="[M8MqTGxbRWto1b9]0:0">
    <vt:lpwstr>NDUnNnEiNDMoMnIsNnAnNlstH8MiNCBDYWl82Wl62GU5VGxoYWk5TW-i2XR-1k</vt:lpwstr>
  </property>
  <property fmtid="{D5CDD505-2E9C-101B-9397-08002B2CF9AE}" pid="710" name="[M8MrTGxbRWto1b9]0:0">
    <vt:lpwstr>NDUnNnEiNDMoN8QlM8AnNlspH9N-0Glp0GFmH9YoH6s3MQ</vt:lpwstr>
  </property>
  <property fmtid="{D5CDD505-2E9C-101B-9397-08002B2CF9AE}" pid="711" name="[M8MsTGxbRWto1b9]0:0">
    <vt:lpwstr>NDUnNnEiNDMoN8UmNn1rOBspH9N-0Glp0GFmH9YqH8pTVUocQqFg0HM6STMuSTUpNC93MT1kN6sl</vt:lpwstr>
  </property>
  <property fmtid="{D5CDD505-2E9C-101B-9397-08002B2CF9AE}" pid="712" name="[M8MtTGxbRWto1b9]0:0">
    <vt:lpwstr>NDUnNnEiNDMoODAnM8QkNlstH8MiMmBDYWl82Wl62GU5VqV-_qR63SBEYX-o_Wp-IEpd0bVoZXM</vt:lpwstr>
  </property>
  <property fmtid="{D5CDD505-2E9C-101B-9397-08002B2CF9AE}" pid="713" name="[M8QkTGxbRWto1b9]0:0">
    <vt:lpwstr>NDUnNnEiNDMpNDEqN8YqNlspH9N-0Glp0GFmH9YoH8pTVUpJR-McQqFg0HM6RTdFLCBDYWlg1mFCO9IgICJXZWVfZGFtI7k5QqFg0HM6QndDLCA7RGFt2G-hZSIdH8A3MQ</vt:lpwstr>
  </property>
  <property fmtid="{D5CDD505-2E9C-101B-9397-08002B2CF9AE}" pid="714" name="[M8QlTGxbRWto1b9]0:0">
    <vt:lpwstr>NDUnNnEiNDMqMTQpODMnMlspH9N-0Glp0GFmH9YoH8pTVUpJR-McQqFg0HM6RTdFLCBDYWlg1mFCO9IgICJXZWVfZGFtI7k5QqFg0HM6QndDLCA7RGFt2G-hZSIdH8A3MQ</vt:lpwstr>
  </property>
  <property fmtid="{D5CDD505-2E9C-101B-9397-08002B2CF9AE}" pid="715" name="[M8QmTGxbRWto1b9]0:0">
    <vt:lpwstr>NDUnNnEiNDMqNnAlMn5sORspH9N-0Glp0GFmH9YqH8pTVUocQqFg0HM6STMuSTUpNC93MT1kN6sl</vt:lpwstr>
  </property>
  <property fmtid="{D5CDD505-2E9C-101B-9397-08002B2CF9AE}" pid="716" name="[M8QnTGxbRWto1b9]0:0">
    <vt:lpwstr>NDUnNnEiNDMqODQkM81rOBspH9N-0Glp0GFmH9YoH8pTVUpJR-McQqFg0HM6RTdFLCBDYWlg1mFCO9IgICJXZWVfZGFtI7k5QqFg0HM6QndDLCA7RGFt2G-hZSIdH8A3MQ</vt:lpwstr>
  </property>
  <property fmtid="{D5CDD505-2E9C-101B-9397-08002B2CF9AE}" pid="717" name="[M8QoTGxbRWto1b9]0:0">
    <vt:lpwstr>NDUnNnEiNDMrMD5nMnMnMlspH9N-0Glp0GFmH9YqH8pTVUocQqFg0HM6R8QdH8A3MQ</vt:lpwstr>
  </property>
  <property fmtid="{D5CDD505-2E9C-101B-9397-08002B2CF9AE}" pid="718" name="[M8QpTGxbRWto1b9]0:0">
    <vt:lpwstr>NDUnNnEiNDMrMTAqND5lNRspH9N-0Glp0GFmH9YqH8pTVUocQqFg0HM6STMuSTUpNC93MT1kN6sl</vt:lpwstr>
  </property>
  <property fmtid="{D5CDD505-2E9C-101B-9397-08002B2CF9AE}" pid="719" name="[M8QqTGxbRWto1b9]0:0">
    <vt:lpwstr>NDUnNnEiNDMrMTEsMDUpN6spH9N-0Glp0GFmH9YoH8pTVUpJR-McQqFg0HM6RTdFLCBDYWlg1mFCO9IgICJXZWVfZGFtI7k5QqFg0HM6QndDLCA7RGFt2G-hZSIdH8A3MQ</vt:lpwstr>
  </property>
  <property fmtid="{D5CDD505-2E9C-101B-9397-08002B2CF9AE}" pid="720" name="[M8QrTGxbRWto1b9]0:0">
    <vt:lpwstr>NDUnNnEiNDMrMTItN8ItN6spH9N-0Glp0GFmH9YoH8pTVUpJR-McQqFg0HM6RTdFLCBDYWlg1mFCO9IgICJXZWVfZGFtI7k5QqFg0HM6QndDLCA7RGFt2G-hZSIdH8A3MQ</vt:lpwstr>
  </property>
  <property fmtid="{D5CDD505-2E9C-101B-9397-08002B2CF9AE}" pid="721" name="[M8QsTGxbRWto1b9]0:0">
    <vt:lpwstr>NDUnNnEiNDQnNnIqODUlORspH9N-0Glp0GFmH9YoH8pTVUpJR76DZWlg2Wl617FIMndJNTUoLCJtZXM7LEN-0Glp0GFmIU5nO99pNTQdH8A3MQ</vt:lpwstr>
  </property>
  <property fmtid="{D5CDD505-2E9C-101B-9397-08002B2CF9AE}" pid="722" name="[M8QtTGxbRWto1b9]0:0">
    <vt:lpwstr>NDUnNnEiNDQnNnU3NRtDZWlg2Wl616tGNRsxUpVNSUYcQqVg0HVgYXI6SDQuSTUpNSk73WVnI7lDZWlg2Wl617FINDdJNTUpKRskH8E</vt:lpwstr>
  </property>
  <property fmtid="{D5CDD505-2E9C-101B-9397-08002B2CF9AE}" pid="723" name="[M8UkTGxbRWto1b9]0:0">
    <vt:lpwstr>NDUnNnEiNDQqMTMoM8UtMlspH9N-0Glp0GFmH9YoH8pTVUpJR76DZWlg2Wl617FIMndINTUoLCJtZXM7LEN-0Glp0GFmIU9nO99pNTQdH8A3MQ</vt:lpwstr>
  </property>
  <property fmtid="{D5CDD505-2E9C-101B-9397-08002B2CF9AE}" pid="724" name="[M8UlTGxbRWto1b9]0:0">
    <vt:lpwstr>NDUnNnEiNDQqM8AnNnAnNlstH8MiNCBDYWl82Wl62GU5VGxoYWk5TW-i2XR-1k</vt:lpwstr>
  </property>
  <property fmtid="{D5CDD505-2E9C-101B-9397-08002B2CF9AE}" pid="725" name="[M8UmTGxbRWto1b9]0:0">
    <vt:lpwstr>NDUnNnEiNDQrNTMoNnImM6spH9N-0Glp0GFmH9YoH8pTVUpJR76DYWlg1mFIMndINTUoLCJtZXM7LEN60GlnIU9nO99pNTQdH89oNlsl</vt:lpwstr>
  </property>
  <property fmtid="{D5CDD505-2E9C-101B-9397-08002B2CF9AE}" pid="726" name="[M8UnTGxbRWto1b9]0:0">
    <vt:lpwstr>NDUnNnEiNDQrNnQnMDUpN6spH9N-0Glp0GFmH9YoH8pTVUpJR76DYWlg1mFIMndINTUoLCJtZXM7LEN60GlnIU9nO99pNTQdH89oNlsl</vt:lpwstr>
  </property>
  <property fmtid="{D5CDD505-2E9C-101B-9397-08002B2CF9AE}" pid="727" name="[M8UoTGxbRWto1b9]0:0">
    <vt:lpwstr>NDUnNnEiNDQrNnUoN8ItN6spH9N-0Glp0GFmH9YpH8pTVUpJR76DYWlg1mFIMndINTUoLCJtZXM7LEN60GlnIU9nO99pNTQdH89oNlsl</vt:lpwstr>
  </property>
  <property fmtid="{D5CDD505-2E9C-101B-9397-08002B2CF9AE}" pid="728" name="[M8UpTGxbRWto1b9]0:0">
    <vt:lpwstr>NDUnNnEiNDQrOD5lOTQoNBspH9N-0Glp0GFmH9YpH8pTVUpJR76DYWlg1mFIMndINTUoLCJi0mIgQqFg0HM6STMuSTUpNC93NnUtH8E</vt:lpwstr>
  </property>
  <property fmtid="{D5CDD505-2E9C-101B-9397-08002B2CF9AE}" pid="729" name="[M8UqTGxbRWto1b9]0:0">
    <vt:lpwstr>NDUnNnEiNDQrOTYmOTYnH893MmspIEN60GNp0GFoZSBF2aVi_WtbICY5VqV-_qViZCBN_Wtp2GVn</vt:lpwstr>
  </property>
  <property fmtid="{D5CDD505-2E9C-101B-9397-08002B2CF9AE}" pid="730" name="[M8UrTGxbRWto1b9]0:0">
    <vt:lpwstr>NDUnNnEiNDQsMDYrMTItN6stH8MiN7BDYWl82Wl62GU5RGFoYSBV1qV9</vt:lpwstr>
  </property>
  <property fmtid="{D5CDD505-2E9C-101B-9397-08002B2CF9AE}" pid="731" name="[M8UsTGxbRWto1b9]0:0">
    <vt:lpwstr>NDUnNnEiNDQtM89nOT5lNRspH9N-0Glp0GFmH9YsH8pTVUocQqVg0HVgYXI6Q8MuR81qN7wlMDAkMDAkKRs8V9FMVUU6H8E</vt:lpwstr>
  </property>
  <property fmtid="{D5CDD505-2E9C-101B-9397-08002B2CF9AE}" pid="732" name="[M8UtTGxbRWto1b9]0:0">
    <vt:lpwstr>NDUnNnEiNDQtNDIlM89qMlspH9N-0Glp0GFmH9YsH8ocQqVg0HVgYXI6Q8MuR81qN7wlMDAkMDAkKRs8UpBJTEk6H8E</vt:lpwstr>
  </property>
  <property fmtid="{D5CDD505-2E9C-101B-9397-08002B2CF9AE}" pid="733" name="[M8YkTGxbRWto1b9]0:0">
    <vt:lpwstr>NDUnNnEiNDQtN8ItN8ItN6spH9N-0Glp0GFmH9YsH8ocQqVg0HVgYXI6Q8MuR81qN793IpNQSUlMIRsl</vt:lpwstr>
  </property>
  <property fmtid="{D5CDD505-2E9C-101B-9397-08002B2CF9AE}" pid="734" name="[M8YlTGxbRWto1b9]0:0">
    <vt:lpwstr>NDUnNnEiNDQtNnImM8ImM6spH9N-0Glp0GFmH9YsH8pTVUocQqVg0HVgYXI6Q8MuR81qN793MTApNTQmMTYqH8E</vt:lpwstr>
  </property>
  <property fmtid="{D5CDD505-2E9C-101B-9397-08002B2CF9AE}" pid="735" name="[M8YmTGxbRWto1b9]0:0">
    <vt:lpwstr>NDUnNnEiNDQtODQtNTMrH8U3QqVg0HVgYXI3R853PVNVTS6DZWlg2Wl617FCMndGNnYqKSwlMDAkMDA3MTAiNTUoMnImH8E</vt:lpwstr>
  </property>
  <property fmtid="{D5CDD505-2E9C-101B-9397-08002B2CF9AE}" pid="736" name="[M8YnTGxbRWto1b9]0:0">
    <vt:lpwstr>NDUnNnEiNDQtOD5oM8UtMlstH8MiNmBDYWl82Wl62GU5VGVs2HM5UqVi2A</vt:lpwstr>
  </property>
  <property fmtid="{D5CDD505-2E9C-101B-9397-08002B2CF9AE}" pid="737" name="[M8YoTGxbRWto1b9]0:0">
    <vt:lpwstr>NDUnNnEiNDUkMn1kMn1kNBspH9N-0Glp0GFmH9YoH8pTVUpJR76DYWlg1mFIMndINTUoLCJtZXM7LEN60GlnIU9nO99pNTQdH89oNlsl</vt:lpwstr>
  </property>
  <property fmtid="{D5CDD505-2E9C-101B-9397-08002B2CF9AE}" pid="738" name="[M8YpTGxbRWto1b9]0:0">
    <vt:lpwstr>NDUnNnEiNDUkMn9nNTEsNRspH9N-0Glp0GFmH9YlMRsxUpVNSUYcQqFg0HM6SDMuSDUpNCk73WVnI7lDYWlg1mFJMndJNTUoKRstND13MQ</vt:lpwstr>
  </property>
  <property fmtid="{D5CDD505-2E9C-101B-9397-08002B2CF9AE}" pid="739" name="[M8YqTGxbRWto1b9]0:0">
    <vt:lpwstr>NDUnNnEiNDUlMn5sOD5sORspH9N-0Glp0GFmH9YlMRsxUpVNSUYcQqVg0HVgYXI6Q8MuR85rOSk7VGVs2CIdH8A3MQ</vt:lpwstr>
  </property>
  <property fmtid="{D5CDD505-2E9C-101B-9397-08002B2CF9AE}" pid="740" name="[M8YrTGxbRWto1b9]0:0">
    <vt:lpwstr>NDUnNnEiNDUlN8YqN8YqNlspH9N-0Glp0GFmH9YlMRsxUpVNSUYcQqVg0HVgYXI6Q8MuR85rOSk7VGVs2CIgQqVg0HVgYXI6Q8MuR85rOSAdH8A3MQ</vt:lpwstr>
  </property>
  <property fmtid="{D5CDD505-2E9C-101B-9397-08002B2CF9AE}" pid="741" name="[M8YsTGxbRWto1b9]0:0">
    <vt:lpwstr>NDUnNnEiNDUlODErMTItN6spH9N-0Glp0GFmH9YlMRsxQoxVT-QcQqVg0HVgYXI6Q8MuR85rOSk7VGVs2CIgQqVg0HVgYXI6Q8MuR85rOSAdH8QmH8E</vt:lpwstr>
  </property>
  <property fmtid="{D5CDD505-2E9C-101B-9397-08002B2CF9AE}" pid="742" name="[M8YtTGxbRWto1b9]0:0">
    <vt:lpwstr>NDUnNnEiNDUlOTQoNDQoNBspH9N-0Glp0GFmH9YlMRsxQoxVT-QcQqVg0HVgYXI6Q8MuR85rOSk7VGVs2CI5KRsmMRsl</vt:lpwstr>
  </property>
  <property fmtid="{D5CDD505-2E9C-101B-9397-08002B2CF9AE}" pid="743" name="[M81kTGxbRWto1b9]0:0">
    <vt:lpwstr>NDUnNnEiNDUmM85kMD9mN6spH9N-0Glp0GFmH9YlMRsxQoxVT-QcTWVn1qFbZXM6RDMuRD5rOSk7VGVs2CI5KRskH8E</vt:lpwstr>
  </property>
  <property fmtid="{D5CDD505-2E9C-101B-9397-08002B2CF9AE}" pid="744" name="[M81lTGxbRWto1b9]0:0">
    <vt:lpwstr>NDUnNnEiNDUmNDEsOT5lNRspH9N-0Glp0GFmH9YlMRsxQoxVT-RJR76NZXNnYW2-1mFEMndEOD1tLCJUZX6oI7AdH8YtOBsl</vt:lpwstr>
  </property>
  <property fmtid="{D5CDD505-2E9C-101B-9397-08002B2CF9AE}" pid="745" name="[M81mTGxbRWto1b9]0:0">
    <vt:lpwstr>NDUnNnEiNDUmNTYtNDQoNBspH9N-0Glp0GFmH9YlMRsxQoxVT-RJR76NZXNnYW2-1mFEMndEOD1tLCJUZX6oI7AdH8YtOBsl</vt:lpwstr>
  </property>
  <property fmtid="{D5CDD505-2E9C-101B-9397-08002B2CF9AE}" pid="746" name="[M81nTGxbRWto1b9]0:0">
    <vt:lpwstr>NDUnNnEiNDUmNT5lMDEsNRspH9N-0Glp0GFmH9YlM6sxQoxVT-RJR76NZXNnYW2-1mFEMndEOD1tLCJUZX6oI7AdH8YtOBsl</vt:lpwstr>
  </property>
  <property fmtid="{D5CDD505-2E9C-101B-9397-08002B2CF9AE}" pid="747" name="[M81oTGxbRWto1b9]0:0">
    <vt:lpwstr>NDUnNnEiNDUmN8YmMDMrH893MmssIEN60GNp0GFoZSBNZWRdYSBUZX6o1mBTZWto</vt:lpwstr>
  </property>
  <property fmtid="{D5CDD505-2E9C-101B-9397-08002B2CF9AE}" pid="748" name="[M81pTGxbRWto1b9]0:0">
    <vt:lpwstr>NDUnNnEiNDUmNnMlND5lNRstH8MiOSBDYWl82Wl62GU5VGxoYWk5TWVn1qFbZXM</vt:lpwstr>
  </property>
  <property fmtid="{D5CDD505-2E9C-101B-9397-08002B2CF9AE}" pid="749" name="[M81qTGxbRWto1b9]0:0">
    <vt:lpwstr>NDUnNnEiNDUmNnYqM8AnNlstH8MiOCBDYWl82Wl62GU5TWV9_WE5VGVs2HM5UqVi2A</vt:lpwstr>
  </property>
  <property fmtid="{D5CDD505-2E9C-101B-9397-08002B2CF9AE}" pid="750" name="[M81rTGxbRWto1b9]0:0">
    <vt:lpwstr>NDUnNnEiNDUmOT5qMTElMRspH9N-0Glp0GFmH9YlM6sxQoxVT-RJR76NZXNnYW2-1mFEMndEOD1tLCJNZWRdYSI5KRslNn93MQ</vt:lpwstr>
  </property>
  <property fmtid="{D5CDD505-2E9C-101B-9397-08002B2CF9AE}" pid="751" name="[M81sTGxbRWto1b9]0:0">
    <vt:lpwstr>NDUnNnEiNDUnMDIkODMnMlspH9N-0Glp0GFmH9YlMlsxQoxVT-RJR76NZXNnYW2-1mFEMndEOD1tLCJUZX6oI7AdH8YtOBsl</vt:lpwstr>
  </property>
  <property fmtid="{D5CDD505-2E9C-101B-9397-08002B2CF9AE}" pid="752" name="[M81tTGxbRWto1b9]0:0">
    <vt:lpwstr>NDUnNnEiNDUnMT9oNDQoNBspH9N-0Glp0GFmH9YlMlsxUpVNKEp-1rN6ZqVnIUQnO9QsNn9dH8A3MQ</vt:lpwstr>
  </property>
  <property fmtid="{D5CDD505-2E9C-101B-9397-08002B2CF9AE}" pid="753" name="[M85kTGxbRWto1b9]0:0">
    <vt:lpwstr>NDUnNnEiNDUnNTMkMD9mN6spH9N-0Glp0GFmH9YlMlsxQoxVT-QcTWVn1qFbZXM6RDMuRD5rOS93MBsl</vt:lpwstr>
  </property>
  <property fmtid="{D5CDD505-2E9C-101B-9397-08002B2CF9AE}" pid="754" name="[M85lTGxbRWto1b9]0:0">
    <vt:lpwstr>NDUnNnEiNDUnNnEpM81rOBspH9N-0Glp0GFmH9YlMlsxUpVNKEYlMSlGMTIdH85rNlsl</vt:lpwstr>
  </property>
  <property fmtid="{D5CDD505-2E9C-101B-9397-08002B2CF9AE}" pid="755" name="[M85mTGxbRWto1b9]0:0">
    <vt:lpwstr>NDUnNnEiNDUnNnYlNT1oMRstH8MiOSBDYWl82Wl62GU5VGxoYWk5TWVn1qFbZXM</vt:lpwstr>
  </property>
  <property fmtid="{D5CDD505-2E9C-101B-9397-08002B2CF9AE}" pid="756" name="[M85nTGxbRWto1b9]0:0">
    <vt:lpwstr>NDUnNnEiNDUnODQmNT9mN6stH8MiMTA5TW-i2XR-IENcYXJbZXM5TrBo_WxiIDE</vt:lpwstr>
  </property>
  <property fmtid="{D5CDD505-2E9C-101B-9397-08002B2CF9AE}" pid="757" name="[M85oTGxbRWto1b9]0:0">
    <vt:lpwstr>NDUnNnEiNTMsMnQoOTArNBstH8MiOSBDYWl82Wl62GU5VGxoYWk5TWVn1qFbZXM</vt:lpwstr>
  </property>
  <property fmtid="{D5CDD505-2E9C-101B-9397-08002B2CF9AE}" pid="758" name="[M85pTGxbRWto1b9]0:0">
    <vt:lpwstr>NDUnNnEiNTMsMnYsMDUpN6stH8MiMTA5TW-i2XR-IENcYXJbZXM5TrBo_WxiIDE</vt:lpwstr>
  </property>
  <property fmtid="{D5CDD505-2E9C-101B-9397-08002B2CF9AE}" pid="759" name="[M85qTGxbRWto1b9]0:0">
    <vt:lpwstr>NDUnNnEiNTMsNn9qM89qMlspH9N-0Glp0GFmH9YlMlsxQoxVT-QcTWVn1qFbZXM6RDMuRD5rOS93MBsl</vt:lpwstr>
  </property>
  <property fmtid="{D5CDD505-2E9C-101B-9397-08002B2CF9AE}" pid="760" name="[M85rTGxbRWto1b9]0:0">
    <vt:lpwstr>NDUnNnEiNTMsODEtNDQoNBspH9N-0Glp0GFmH9YlMlsxUpVNKEp-1rN6ZqVnIUQnO9QsNn9dH8A3MQ</vt:lpwstr>
  </property>
  <property fmtid="{D5CDD505-2E9C-101B-9397-08002B2CF9AE}" pid="761" name="[M85sTGxbRWto1b9]0:0">
    <vt:lpwstr>NDUnNnEiNTMsODQmNT9mN6spH9N-0Glp0GFmH9YlMlsxQoxVT-QcTWVn1qFbZXM6RDMuRD5rOS93MBsl</vt:lpwstr>
  </property>
  <property fmtid="{D5CDD505-2E9C-101B-9397-08002B2CF9AE}" pid="762" name="[M85tTGxbRWto1b9]0:0">
    <vt:lpwstr>NDUnNnEiNTMsOD1rMnEoOBspH9N-0Glp0GFmH9YlMlsxUpVNKEp-1rN6ZqVnIUQnO9QsNn9dH8A3MQ</vt:lpwstr>
  </property>
  <property fmtid="{D5CDD505-2E9C-101B-9397-08002B2CF9AE}" pid="763" name="[M89kTGxbRWto1b9]0:0">
    <vt:lpwstr>NDUnNnEiNTMsOD1rMnEoOBspH9N-0Glp0GFmH9YlMlsxQoxVT-RJR76NZXNnYW2-1mFEMndEOD1tLCJUZX6oI7AdH8YtOBsl</vt:lpwstr>
  </property>
  <property fmtid="{D5CDD505-2E9C-101B-9397-08002B2CF9AE}" pid="764" name="[M89lTGxbRWto1b9]0:0">
    <vt:lpwstr>NDUnNnEiNTMsOTEmMDMrH8U3QqVg0HVgYXI3R8EnH8pTVUocTWVn1qFbZXM6RDMuRD5rOS93MBsl</vt:lpwstr>
  </property>
  <property fmtid="{D5CDD505-2E9C-101B-9397-08002B2CF9AE}" pid="765" name="[M89mTGxbRWto1b9]0:0">
    <vt:lpwstr>NDUnNnEiNTMtMTUpMD9mN6spH9N-0Glp0GFmH9YlMlsxUpVNKEYlMShGMTIdH85rNlsl</vt:lpwstr>
  </property>
  <property fmtid="{D5CDD505-2E9C-101B-9397-08002B2CF9AE}" pid="766" name="[M89nTGxbRWto1b9]0:0">
    <vt:lpwstr>NDUnNnEiNTMtMnApNTUpN6spH9N-0Glp0GFmH99oH8pGN7dDNBs9ODUiMnA3MQ</vt:lpwstr>
  </property>
  <property fmtid="{D5CDD505-2E9C-101B-9397-08002B2CF9AE}" pid="767" name="[M89oTGxbRWto1b9]0:0">
    <vt:lpwstr>NDUnNnEiNTMtMnUlODUlORstH8MiMTE5RGFoYSBD_GFmZqVnIExk2G-j07Al</vt:lpwstr>
  </property>
  <property fmtid="{D5CDD505-2E9C-101B-9397-08002B2CF9AE}" pid="768" name="[M89pTGxbRWto1b9]0:0">
    <vt:lpwstr>NDUnNnEiNTMtN8ItN8ItN6spH9N-0Glp0GFmH99pH8pGOCdDNRs9MCsnM6sl</vt:lpwstr>
  </property>
  <property fmtid="{D5CDD505-2E9C-101B-9397-08002B2CF9AE}" pid="769" name="[M89qTGxbRWto1b9]0:0">
    <vt:lpwstr>NDUnNnEiNTMtN8QlM8AnNlstH8MiMTI5VGVs2CBD_GFmZqVnIExk2G-j07Al</vt:lpwstr>
  </property>
  <property fmtid="{D5CDD505-2E9C-101B-9397-08002B2CF9AE}" pid="770" name="[M89rTGxbRWto1b9]0:0">
    <vt:lpwstr>NDUnNnEiNTQkND5qMTElMRspH9N-0Glp0GFmH99qH8pGMTEhQnY3JDEtOCskMBsl</vt:lpwstr>
  </property>
  <property fmtid="{D5CDD505-2E9C-101B-9397-08002B2CF9AE}" pid="771" name="[M89sTGxbRWto1b9]0:0">
    <vt:lpwstr>NDUnNnEiNTQkNnErNT9mN6stH8MiMTM5TWV9_WE5Qq661a2-1mBP1HRd0qs5MQ</vt:lpwstr>
  </property>
  <property fmtid="{D5CDD505-2E9C-101B-9397-08002B2CF9AE}" pid="772" name="[M89tTGxbRWto1b9]0:0">
    <vt:lpwstr>NDUnNnEiNTQkOTIpOTIpORspH9N-0Glp0GFmH99rH8pGMTIeQn53JDErL89kH8E</vt:lpwstr>
  </property>
  <property fmtid="{D5CDD505-2E9C-101B-9397-08002B2CF9AE}" pid="773" name="[MnAkTGxbRWto1b9]0:0">
    <vt:lpwstr>NDUnNnEiNTQkOTYkN8QsMRstH8MiMTQ5TrBo_WxiIDE5UrV72GxoYWk</vt:lpwstr>
  </property>
  <property fmtid="{D5CDD505-2E9C-101B-9397-08002B2CF9AE}" pid="774" name="[MnAlTGxbRWto1b9]0:0">
    <vt:lpwstr>NDUnNnEiNTQlMTUrNDArNBspH9N-0Glp0GFmH99tH8pTVUocSTQuST1dH7QnMDEiNTI3MQ</vt:lpwstr>
  </property>
  <property fmtid="{D5CDD505-2E9C-101B-9397-08002B2CF9AE}" pid="775" name="[MnAmTGxbRWto1b9]0:0">
    <vt:lpwstr>NDUnNnEiNTQlM89qM89qMlstH8MiMTU5TrBo_WxiIDE5VGFs</vt:lpwstr>
  </property>
  <property fmtid="{D5CDD505-2E9C-101B-9397-08002B2CF9AE}" pid="776" name="[MnAnTGxbRWto1b9]0:0">
    <vt:lpwstr>NDUnNnEiNTQlN8MlOTQoNBspH9N-0Glp0GFmH99lMBsxST9eR8EpH7QpNCsmNlsl</vt:lpwstr>
  </property>
  <property fmtid="{D5CDD505-2E9C-101B-9397-08002B2CF9AE}" pid="777" name="[MnAoTGxbRWto1b9]0:0">
    <vt:lpwstr>NDUnNnEiNTQlN85tODEoOBstH8MiMTY5TrBo_WxiIDE5Qa-g0A</vt:lpwstr>
  </property>
  <property fmtid="{D5CDD505-2E9C-101B-9397-08002B2CF9AE}" pid="778" name="[MnApTGxbRWto1b9]0:0">
    <vt:lpwstr>NDUnNnEiNTQlODIsNnAnNlspH9N-0Glp0GFmH99lMRsxST9fSTEkH7QnNTUiNn93MQ</vt:lpwstr>
  </property>
  <property fmtid="{D5CDD505-2E9C-101B-9397-08002B2CF9AE}" pid="779" name="[MnAqTGxbRWto1b9]0:0">
    <vt:lpwstr>NDUnNnEiNTQlODUlODUlOBstH8MiMT15TrBo_WxiIDI5TWxi2G6g3SBD0rNo</vt:lpwstr>
  </property>
  <property fmtid="{D5CDD505-2E9C-101B-9397-08002B2CF9AE}" pid="780" name="[MnArTGxbRWto1b9]0:0">
    <vt:lpwstr>NDUnNnEiNTQmMDAmMnEoOBspH9N-0Glp0GFmH99lNBsxQnElH7QsOSskMBsl</vt:lpwstr>
  </property>
  <property fmtid="{D5CDD505-2E9C-101B-9397-08002B2CF9AE}" pid="781" name="[MnAsTGxbRWto1b9]0:0">
    <vt:lpwstr>NDUnNnEiNTQmMTItN8ItN6stH8MiMT55TrBo_WxiIDI5TrZ-17ph_Wtp2GU5Qq661a2-</vt:lpwstr>
  </property>
  <property fmtid="{D5CDD505-2E9C-101B-9397-08002B2CF9AE}" pid="782" name="[MnAtTGxbRWto1b9]0:0">
    <vt:lpwstr>NDUnNnEiNTQmNn1rNn1rOBspH9N-0Glp0GFmH99lNRsxR8QhQnEmH7QmND1iMDA3MQ</vt:lpwstr>
  </property>
  <property fmtid="{D5CDD505-2E9C-101B-9397-08002B2CF9AE}" pid="783" name="[MnEkTGxbRWto1b9]0:0">
    <vt:lpwstr>NDUnNnEiNTQnM8QkNnQkNlstH8MiMT95TrBo_WxiIDI5TrZ-17p9YXR6IENcYXJbZQ</vt:lpwstr>
  </property>
  <property fmtid="{D5CDD505-2E9C-101B-9397-08002B2CF9AE}" pid="784" name="[MnElTGxbRWto1b9]0:0">
    <vt:lpwstr>NDUnNnEiNTQoMD1oMD1oMRspH9N-0Glp0GFmH9YsH8pTVUocQqVg0HVgYXI6Q8MuR81qN79jMTAkMBslMDUsL8InMn93MQ</vt:lpwstr>
  </property>
  <property fmtid="{D5CDD505-2E9C-101B-9397-08002B2CF9AE}" pid="785" name="[MnEmTGxbRWto1b9]0:0">
    <vt:lpwstr>NDUnNnEiNTQoOT1qODUlORspH9N-0Glp0GFmH9YsH8pTVUocQqVg0HVgYXI6Q8MuR81qN793MTApNnErNTYqH8E</vt:lpwstr>
  </property>
  <property fmtid="{D5CDD505-2E9C-101B-9397-08002B2CF9AE}" pid="786" name="[MnEnTGxbRWto1b9]0:0">
    <vt:lpwstr>NDUnNnEiNTQpMDUrOD1kNBspH9N-0Glp0GFmH9YsH8pTVUocQqVg0HVgYXI6Q8MuR81qN79jMTAkMBslMDUsL8InMn93MQ</vt:lpwstr>
  </property>
  <property fmtid="{D5CDD505-2E9C-101B-9397-08002B2CF9AE}" pid="787" name="[MnEoTGxbRWto1b9]0:0">
    <vt:lpwstr>NDUnNnEiNTQqMT5kNTUpN6spH9N-0Glp0GFmH9YsH8pTVUocQqVg0HVgYXI6Q8MuR81qN79jMTAkMDAkH8EkL8UrMT5qM6sl</vt:lpwstr>
  </property>
  <property fmtid="{D5CDD505-2E9C-101B-9397-08002B2CF9AE}" pid="788" name="[MnEpTGxbRWto1b9]0:0">
    <vt:lpwstr>NDUnNnEiNTQrMDIpNDYnH8U3QqVg0HVgYXI3STEqH8ocR85hQnEnKSccMCskNSwlMDAkMDAdH7QkL8AkH8E</vt:lpwstr>
  </property>
  <property fmtid="{D5CDD505-2E9C-101B-9397-08002B2CF9AE}" pid="789" name="[MnEqTGxbRWto1b9]0:0">
    <vt:lpwstr>NDUnNnEiNTQrNTInMTQsMRspH9N-0Glp0GFmH99lN6sxKEYsLUMlMm9eMCskMDAkNRs9MCskMBsl</vt:lpwstr>
  </property>
  <property fmtid="{D5CDD505-2E9C-101B-9397-08002B2CF9AE}" pid="790" name="[MnErTGxbRWto1b9]0:0">
    <vt:lpwstr>NDUnNnEiNTQrN8AoMTYqNlstH8MiM8A5TrBo_WxiIDI5QWR9_XRd0qt60CBNZXNnYW2-IENcYXJbZQ</vt:lpwstr>
  </property>
  <property fmtid="{D5CDD505-2E9C-101B-9397-08002B2CF9AE}" pid="791" name="[MnEsTGxbRWto1b9]0:0">
    <vt:lpwstr>NDUnNnEiNTQsMn9lM8AnNlspH9N-0Glp0GFmH99lNlskH7QkL8AkH8E</vt:lpwstr>
  </property>
  <property fmtid="{D5CDD505-2E9C-101B-9397-08002B2CF9AE}" pid="792" name="[MnEtTGxbRWto1b9]0:0">
    <vt:lpwstr>NDUnNnEiNTQsNDEoMnUlORstH8MiM8E5TrBo_WxiIDI5UrV72GxoYWk</vt:lpwstr>
  </property>
  <property fmtid="{D5CDD505-2E9C-101B-9397-08002B2CF9AE}" pid="793" name="[MnIkTGxbRWto1b9]0:0">
    <vt:lpwstr>NDUnNnEiNTQsN8ElMTElMRspH9N-0Glp0GFmH99lORsx1rVhH7NOQUpFPlsl</vt:lpwstr>
  </property>
  <property fmtid="{D5CDD505-2E9C-101B-9397-08002B2CF9AE}" pid="794" name="[MnIlTGxbRWto1b9]0:0">
    <vt:lpwstr>NDUnNnEiNTQsNnAnNnAnNlspH9N-0Glp0GFmH99lORsxUpVNKE9lNDdJMT1dH7QnMnYiMDA3MQ</vt:lpwstr>
  </property>
  <property fmtid="{D5CDD505-2E9C-101B-9397-08002B2CF9AE}" pid="795" name="[MnImTGxbRWto1b9]0:0">
    <vt:lpwstr>NDUnNnEiNTQsODQmNT9mN6spH9N-0Glp0GFmH99mMBsxSTEtK9YlNRs9N8AiND53MQ</vt:lpwstr>
  </property>
  <property fmtid="{D5CDD505-2E9C-101B-9397-08002B2CF9AE}" pid="796" name="[MnInTGxbRWto1b9]0:0">
    <vt:lpwstr>NDUnNnEiNTQtMTAsNn9qMlspH9N-0Glp0GFmH99mMRs3H8E</vt:lpwstr>
  </property>
  <property fmtid="{D5CDD505-2E9C-101B-9397-08002B2CF9AE}" pid="797" name="[MnIoTGxbRWto1b9]0:0">
    <vt:lpwstr>NDUnNnEiNTQtMTMlOTQoNBstH8MiM8I5TrBo_WxiIDI5VGFs</vt:lpwstr>
  </property>
  <property fmtid="{D5CDD505-2E9C-101B-9397-08002B2CF9AE}" pid="798" name="[MnIpTGxbRWto1b9]0:0">
    <vt:lpwstr>NDUnNnEiNTQtMTUpMD9mN6stH8MiM8M5TrBo_WxiIDI5Qa-g0A</vt:lpwstr>
  </property>
  <property fmtid="{D5CDD505-2E9C-101B-9397-08002B2CF9AE}" pid="799" name="[MnIqTGxbRWto1b9]0:0">
    <vt:lpwstr>NDUnNnEiNTQtM8MqMTElMRspH9N-0Glp0GFmH99mMRsxSTEtKo9mMBs9Mn9qL8QsH8E</vt:lpwstr>
  </property>
  <property fmtid="{D5CDD505-2E9C-101B-9397-08002B2CF9AE}" pid="800" name="[MnIrTGxbRWto1b9]0:0">
    <vt:lpwstr>NDUnNnEiNTQtM8QrN85pM6stH8MiM8Q5TrBo_WxiIDM5TWxi2G6g3SBD0rNo</vt:lpwstr>
  </property>
  <property fmtid="{D5CDD505-2E9C-101B-9397-08002B2CF9AE}" pid="801" name="[MnIsTGxbRWto1b9]0:0">
    <vt:lpwstr>NDUnNnEiNTQtNTQsN8ElMRspH9N-0Glp0GFmH99mNBsxQnIkH7QlMT9iMDA3MQ</vt:lpwstr>
  </property>
  <property fmtid="{D5CDD505-2E9C-101B-9397-08002B2CF9AE}" pid="802" name="[MnItTGxbRWto1b9]0:0">
    <vt:lpwstr>NDUnNnEiNTQtN8AqND5lNRstH8MiM8U5TrBo_WxiIDM5UrV72GxoYWk</vt:lpwstr>
  </property>
  <property fmtid="{D5CDD505-2E9C-101B-9397-08002B2CF9AE}" pid="803" name="[MnMkTGxbRWto1b9]0:0">
    <vt:lpwstr>NDUnNnEiNTQtN81pOTIpORspH9N-0Glp0GFmH99mN6sxSTIoH7QlMT9iMDA3MQ</vt:lpwstr>
  </property>
  <property fmtid="{D5CDD505-2E9C-101B-9397-08002B2CF9AE}" pid="804" name="[MnMlTGxbRWto1b9]0:0">
    <vt:lpwstr>NDUnNnEiNTQtNnUqOTQoNBspH9N-0Glp0GFmH99mNlsxSTIqK9YlNRs9M8EiNDI3MQ</vt:lpwstr>
  </property>
  <property fmtid="{D5CDD505-2E9C-101B-9397-08002B2CF9AE}" pid="805" name="[MnMmTGxbRWto1b9]0:0">
    <vt:lpwstr>NDUnNnEiNTQtODQtNTMrH8U3QqVg0HVgYXI3STIsH8pJM8YfSTIrH7QlNDAiNDI3MQ</vt:lpwstr>
  </property>
  <property fmtid="{D5CDD505-2E9C-101B-9397-08002B2CF9AE}" pid="806" name="[MnMnTGxbRWto1b9]0:0">
    <vt:lpwstr>NDUnNnEiNTQtOD1mN85pM6stH8MiM8Y5TrBo_WxiIDM5VGFs</vt:lpwstr>
  </property>
  <property fmtid="{D5CDD505-2E9C-101B-9397-08002B2CF9AE}" pid="807" name="[MnMoTGxbRWto1b9]0:0">
    <vt:lpwstr>NDUnNnEiNTQtOD9pODMnMlstH8MiM815TrBo_WxiIDM5Qa-g0A</vt:lpwstr>
  </property>
  <property fmtid="{D5CDD505-2E9C-101B-9397-08002B2CF9AE}" pid="808" name="[MnMpTGxbRWto1b9]0:808">
    <vt:lpwstr>NDUnNnEiNTUkMT5pMT5pM6sqH8MoMTEnMD9sNTErOTQkNn9rNDU3YXZ-1b-b1aF8ZTItMD6A3WFc0qwiYqxhHaFqZXJtHb2-0GNcH8MnOD1oMTUrM8UkMnAsMT1rOTM3NCstODQsMD9lMnEmNnQmMltc2HRk1ncjLqQiZGx81mtg_XZ-Lat-2CwrY8UrYaEnYqYlMTIpMGN9LoRjYrVhZWto1pl6ZHZ60aN-ZEpjZGVg_WtbLVIkLWFqZXJtXr2</vt:lpwstr>
  </property>
  <property fmtid="{D5CDD505-2E9C-101B-9397-08002B2CF9AE}" pid="809" name="[MnMpTGxbRWto1b9]807:0">
    <vt:lpwstr>-0GNcLb6g1qo</vt:lpwstr>
  </property>
  <property fmtid="{D5CDD505-2E9C-101B-9397-08002B2CF9AE}" pid="810" name="[MnMqTGxbRWto1b9]0:0">
    <vt:lpwstr>NDUnNnEiNTUkNDUlMn5sORsmH9Zd0GU52XBg0qF9ZWQ3Qnd1VXN-1bN1QXZ-1b-1RGxr0aljYWRnXGF92aFiYqV9TWx9ZWld0a1hU8AhYXZ-1b-42qVgYq5i3Gln0Q</vt:lpwstr>
  </property>
</Properties>
</file>